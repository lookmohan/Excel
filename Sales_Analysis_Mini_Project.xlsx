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ask Questions" sheetId="3" state="visible" r:id="rId3"/>
  </sheets>
  <definedNames>
    <definedName name="_xlnm._FilterDatabase" localSheetId="2" hidden="1">'Task Questions'!$A$3:$D$28</definedName>
    <definedName name="_xlnm.Print_Area" localSheetId="2">'Task Questions'!$A$1:$D$28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&quot;₹&quot;#,##0.00"/>
    <numFmt numFmtId="167" formatCode="&quot;₹&quot;#,##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8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b val="1"/>
      <color rgb="001F3864"/>
      <sz val="10"/>
    </font>
    <font>
      <name val="Arial"/>
      <b val="1"/>
      <color rgb="00FFFFFF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8B8B"/>
      </patternFill>
    </fill>
    <fill>
      <patternFill patternType="solid">
        <fgColor rgb="002F5597"/>
      </patternFill>
    </fill>
    <fill>
      <patternFill patternType="solid">
        <fgColor rgb="00F2F7FC"/>
      </patternFill>
    </fill>
    <fill>
      <patternFill patternType="solid">
        <fgColor rgb="00FFF8E1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3" fontId="2" fillId="0" borderId="0" applyAlignment="1" pivotButton="0" quotePrefix="0" xfId="0">
      <alignment horizontal="center"/>
    </xf>
    <xf numFmtId="166" fontId="2" fillId="0" borderId="0" pivotButton="0" quotePrefix="0" xfId="0"/>
    <xf numFmtId="9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167" fontId="2" fillId="0" borderId="1" pivotButton="0" quotePrefix="0" xfId="0"/>
    <xf numFmtId="165" fontId="2" fillId="0" borderId="1" pivotButton="0" quotePrefix="0" xfId="0"/>
    <xf numFmtId="0" fontId="4" fillId="2" borderId="0" applyAlignment="1" pivotButton="0" quotePrefix="0" xfId="0">
      <alignment vertical="center" indent="1"/>
    </xf>
    <xf numFmtId="0" fontId="5" fillId="0" borderId="0" applyAlignment="1" pivotButton="0" quotePrefix="0" xfId="0">
      <alignment indent="1"/>
    </xf>
    <xf numFmtId="0" fontId="6" fillId="4" borderId="0" applyAlignment="1" pivotButton="0" quotePrefix="0" xfId="0">
      <alignment vertical="center" indent="1"/>
    </xf>
    <xf numFmtId="0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 indent="1"/>
    </xf>
    <xf numFmtId="0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 inden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vertical="center" wrapText="1" inden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Data'!AA4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'Sales Data'!$Z$5:$Z$9</f>
            </numRef>
          </cat>
          <val>
            <numRef>
              <f>'Sales Data'!$AA$5:$AA$9</f>
            </numRef>
          </val>
        </ser>
        <dLbls>
          <numFmt formatCode="#,##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Amount (₹)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Data'!AA12</f>
            </strRef>
          </tx>
          <spPr>
            <a:solidFill xmlns:a="http://schemas.openxmlformats.org/drawingml/2006/main">
              <a:srgbClr val="2E8B8B"/>
            </a:solidFill>
            <a:ln xmlns:a="http://schemas.openxmlformats.org/drawingml/2006/main">
              <a:prstDash val="solid"/>
            </a:ln>
          </spPr>
          <cat>
            <numRef>
              <f>'Sales Data'!$Z$13:$Z$16</f>
            </numRef>
          </cat>
          <val>
            <numRef>
              <f>'Sales Data'!$AA$13:$AA$16</f>
            </numRef>
          </val>
        </ser>
        <dLbls>
          <numFmt formatCode="#,##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Amount (₹)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 (2025)</a:t>
            </a:r>
          </a:p>
        </rich>
      </tx>
    </title>
    <plotArea>
      <lineChart>
        <grouping val="standard"/>
        <ser>
          <idx val="0"/>
          <order val="0"/>
          <tx>
            <strRef>
              <f>'Sales Data'!AB19</f>
            </strRef>
          </tx>
          <spPr>
            <a:ln xmlns:a="http://schemas.openxmlformats.org/drawingml/2006/main" w="28000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cat>
            <numRef>
              <f>'Sales Data'!$Z$20:$Z$31</f>
            </numRef>
          </cat>
          <val>
            <numRef>
              <f>'Sales Data'!$AB$20:$AB$31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Amount (₹)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19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37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M181" headerRowCount="1">
  <autoFilter ref="A1:M181"/>
  <tableColumns count="13">
    <tableColumn id="1" name="Order ID"/>
    <tableColumn id="2" name="Order Date"/>
    <tableColumn id="3" name="Region"/>
    <tableColumn id="4" name="City"/>
    <tableColumn id="5" name="Salesperson"/>
    <tableColumn id="6" name="Product"/>
    <tableColumn id="7" name="Category"/>
    <tableColumn id="8" name="Units Sold"/>
    <tableColumn id="9" name="Unit Price"/>
    <tableColumn id="10" name="Discount Percentage"/>
    <tableColumn id="11" name="Sales Amount"/>
    <tableColumn id="12" name="Payment Method"/>
    <tableColumn id="13" name="Sales Channe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4" customWidth="1" min="4" max="4"/>
    <col width="16" customWidth="1" min="5" max="5"/>
    <col width="18" customWidth="1" min="6" max="6"/>
    <col width="13" customWidth="1" min="7" max="7"/>
    <col width="10" customWidth="1" min="8" max="8"/>
    <col width="12" customWidth="1" min="9" max="9"/>
    <col width="13" customWidth="1" min="10" max="10"/>
    <col width="14" customWidth="1" min="11" max="11"/>
    <col width="15" customWidth="1" min="12" max="12"/>
    <col width="15" customWidth="1" min="13" max="13"/>
    <col width="3" customWidth="1" min="14" max="14"/>
    <col width="3" customWidth="1" min="25" max="25"/>
    <col width="16" customWidth="1" min="26" max="26"/>
    <col width="16" customWidth="1" min="27" max="27"/>
    <col width="16" customWidth="1" min="28" max="28"/>
  </cols>
  <sheetData>
    <row r="1" ht="34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Salesperson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Units Sold</t>
        </is>
      </c>
      <c r="I1" s="1" t="inlineStr">
        <is>
          <t>Unit Price</t>
        </is>
      </c>
      <c r="J1" s="1" t="inlineStr">
        <is>
          <t>Discount Percentage</t>
        </is>
      </c>
      <c r="K1" s="1" t="inlineStr">
        <is>
          <t>Sales Amount</t>
        </is>
      </c>
      <c r="L1" s="1" t="inlineStr">
        <is>
          <t>Payment Method</t>
        </is>
      </c>
      <c r="M1" s="1" t="inlineStr">
        <is>
          <t>Sales Channel</t>
        </is>
      </c>
      <c r="Z1" s="2" t="inlineStr">
        <is>
          <t>CHART SUPPORT AREA</t>
        </is>
      </c>
    </row>
    <row r="2" ht="28" customHeight="1">
      <c r="A2" s="3" t="inlineStr">
        <is>
          <t>ORD-1001</t>
        </is>
      </c>
      <c r="B2" s="4" t="n">
        <v>45658</v>
      </c>
      <c r="C2" s="5" t="inlineStr">
        <is>
          <t>East</t>
        </is>
      </c>
      <c r="D2" s="5" t="inlineStr">
        <is>
          <t>Kolkata</t>
        </is>
      </c>
      <c r="E2" s="5" t="inlineStr">
        <is>
          <t>Suresh Babu</t>
        </is>
      </c>
      <c r="F2" s="5" t="inlineStr">
        <is>
          <t>Wireless Mouse</t>
        </is>
      </c>
      <c r="G2" s="5" t="inlineStr">
        <is>
          <t>Electronics</t>
        </is>
      </c>
      <c r="H2" s="6" t="n">
        <v>9</v>
      </c>
      <c r="I2" s="7" t="n">
        <v>650</v>
      </c>
      <c r="J2" s="8" t="n">
        <v>0</v>
      </c>
      <c r="K2" s="7">
        <f>ROUND(H2*I2*(1-J2),2)</f>
        <v/>
      </c>
      <c r="L2" s="5" t="inlineStr">
        <is>
          <t>Credit Card</t>
        </is>
      </c>
      <c r="M2" s="5" t="inlineStr">
        <is>
          <t>Phone Order</t>
        </is>
      </c>
      <c r="Z2" s="9" t="inlineStr">
        <is>
          <t>Used only to draw the three charts on this sheet. Please do not edit.</t>
        </is>
      </c>
    </row>
    <row r="3">
      <c r="A3" s="3" t="inlineStr">
        <is>
          <t>ORD-1002</t>
        </is>
      </c>
      <c r="B3" s="4" t="n">
        <v>45659</v>
      </c>
      <c r="C3" s="5" t="inlineStr">
        <is>
          <t>West</t>
        </is>
      </c>
      <c r="D3" s="5" t="inlineStr">
        <is>
          <t>Mumbai</t>
        </is>
      </c>
      <c r="E3" s="5" t="inlineStr">
        <is>
          <t>Meena Iyer</t>
        </is>
      </c>
      <c r="F3" s="5" t="inlineStr">
        <is>
          <t>Phone Stand</t>
        </is>
      </c>
      <c r="G3" s="5" t="inlineStr">
        <is>
          <t>Accessories</t>
        </is>
      </c>
      <c r="H3" s="6" t="n">
        <v>21</v>
      </c>
      <c r="I3" s="7" t="n">
        <v>350</v>
      </c>
      <c r="J3" s="8" t="n">
        <v>0</v>
      </c>
      <c r="K3" s="7">
        <f>ROUND(H3*I3*(1-J3),2)</f>
        <v/>
      </c>
      <c r="L3" s="5" t="inlineStr">
        <is>
          <t>Credit Card</t>
        </is>
      </c>
      <c r="M3" s="5" t="inlineStr">
        <is>
          <t>In-Store</t>
        </is>
      </c>
    </row>
    <row r="4">
      <c r="A4" s="3" t="inlineStr">
        <is>
          <t>ORD-1003</t>
        </is>
      </c>
      <c r="B4" s="4" t="n">
        <v>45659</v>
      </c>
      <c r="C4" s="5" t="inlineStr">
        <is>
          <t>North</t>
        </is>
      </c>
      <c r="D4" s="5" t="inlineStr">
        <is>
          <t>Delhi</t>
        </is>
      </c>
      <c r="E4" s="5" t="inlineStr">
        <is>
          <t>Meena Iyer</t>
        </is>
      </c>
      <c r="F4" s="5" t="inlineStr">
        <is>
          <t>Desk Organizer</t>
        </is>
      </c>
      <c r="G4" s="5" t="inlineStr">
        <is>
          <t>Stationery</t>
        </is>
      </c>
      <c r="H4" s="6" t="n">
        <v>15</v>
      </c>
      <c r="I4" s="7" t="n">
        <v>420</v>
      </c>
      <c r="J4" s="8" t="n">
        <v>0.05</v>
      </c>
      <c r="K4" s="7">
        <f>ROUND(H4*I4*(1-J4),2)</f>
        <v/>
      </c>
      <c r="L4" s="5" t="inlineStr">
        <is>
          <t>Cash</t>
        </is>
      </c>
      <c r="M4" s="5" t="inlineStr">
        <is>
          <t>Phone Order</t>
        </is>
      </c>
      <c r="Z4" s="10" t="inlineStr">
        <is>
          <t>Region</t>
        </is>
      </c>
      <c r="AA4" s="10" t="inlineStr">
        <is>
          <t>Total Sales</t>
        </is>
      </c>
    </row>
    <row r="5">
      <c r="A5" s="3" t="inlineStr">
        <is>
          <t>ORD-1004</t>
        </is>
      </c>
      <c r="B5" s="4" t="n">
        <v>45664</v>
      </c>
      <c r="C5" s="5" t="inlineStr">
        <is>
          <t>West</t>
        </is>
      </c>
      <c r="D5" s="5" t="inlineStr">
        <is>
          <t>Pune</t>
        </is>
      </c>
      <c r="E5" s="5" t="inlineStr">
        <is>
          <t>Karthik Raja</t>
        </is>
      </c>
      <c r="F5" s="5" t="inlineStr">
        <is>
          <t>Gel Pen Box</t>
        </is>
      </c>
      <c r="G5" s="5" t="inlineStr">
        <is>
          <t>Stationery</t>
        </is>
      </c>
      <c r="H5" s="6" t="n">
        <v>36</v>
      </c>
      <c r="I5" s="7" t="n">
        <v>180</v>
      </c>
      <c r="J5" s="8" t="n">
        <v>0</v>
      </c>
      <c r="K5" s="7">
        <f>ROUND(H5*I5*(1-J5),2)</f>
        <v/>
      </c>
      <c r="L5" s="5" t="inlineStr">
        <is>
          <t>Net Banking</t>
        </is>
      </c>
      <c r="M5" s="5" t="inlineStr">
        <is>
          <t>In-Store</t>
        </is>
      </c>
      <c r="Z5" s="11" t="inlineStr">
        <is>
          <t>Central</t>
        </is>
      </c>
      <c r="AA5" s="12">
        <f>SUMIFS($K$2:$K$1000,$C$2:$C$1000,Z5)</f>
        <v/>
      </c>
    </row>
    <row r="6">
      <c r="A6" s="3" t="inlineStr">
        <is>
          <t>ORD-1005</t>
        </is>
      </c>
      <c r="B6" s="4" t="n">
        <v>45664</v>
      </c>
      <c r="C6" s="5" t="inlineStr">
        <is>
          <t>East</t>
        </is>
      </c>
      <c r="D6" s="5" t="inlineStr">
        <is>
          <t>Kolkata</t>
        </is>
      </c>
      <c r="E6" s="5" t="inlineStr">
        <is>
          <t>Suresh Babu</t>
        </is>
      </c>
      <c r="F6" s="5" t="inlineStr">
        <is>
          <t>Bluetooth Speaker</t>
        </is>
      </c>
      <c r="G6" s="5" t="inlineStr">
        <is>
          <t>Electronics</t>
        </is>
      </c>
      <c r="H6" s="6" t="n">
        <v>4</v>
      </c>
      <c r="I6" s="7" t="n">
        <v>2200</v>
      </c>
      <c r="J6" s="8" t="n">
        <v>0.1</v>
      </c>
      <c r="K6" s="7">
        <f>ROUND(H6*I6*(1-J6),2)</f>
        <v/>
      </c>
      <c r="L6" s="5" t="inlineStr">
        <is>
          <t>Credit Card</t>
        </is>
      </c>
      <c r="M6" s="5" t="inlineStr">
        <is>
          <t>In-Store</t>
        </is>
      </c>
      <c r="Z6" s="11" t="inlineStr">
        <is>
          <t>East</t>
        </is>
      </c>
      <c r="AA6" s="12">
        <f>SUMIFS($K$2:$K$1000,$C$2:$C$1000,Z6)</f>
        <v/>
      </c>
    </row>
    <row r="7">
      <c r="A7" s="3" t="inlineStr">
        <is>
          <t>ORD-1006</t>
        </is>
      </c>
      <c r="B7" s="4" t="n">
        <v>45666</v>
      </c>
      <c r="C7" s="5" t="inlineStr">
        <is>
          <t>West</t>
        </is>
      </c>
      <c r="D7" s="5" t="inlineStr">
        <is>
          <t>Mumbai</t>
        </is>
      </c>
      <c r="E7" s="5" t="inlineStr">
        <is>
          <t>Suresh Babu</t>
        </is>
      </c>
      <c r="F7" s="5" t="inlineStr">
        <is>
          <t>Office Chair</t>
        </is>
      </c>
      <c r="G7" s="5" t="inlineStr">
        <is>
          <t>Furniture</t>
        </is>
      </c>
      <c r="H7" s="6" t="n">
        <v>1</v>
      </c>
      <c r="I7" s="7" t="n">
        <v>5500</v>
      </c>
      <c r="J7" s="8" t="n">
        <v>0.1</v>
      </c>
      <c r="K7" s="7">
        <f>ROUND(H7*I7*(1-J7),2)</f>
        <v/>
      </c>
      <c r="L7" s="5" t="inlineStr">
        <is>
          <t>Debit Card</t>
        </is>
      </c>
      <c r="M7" s="5" t="inlineStr">
        <is>
          <t>Phone Order</t>
        </is>
      </c>
      <c r="Z7" s="11" t="inlineStr">
        <is>
          <t>North</t>
        </is>
      </c>
      <c r="AA7" s="12">
        <f>SUMIFS($K$2:$K$1000,$C$2:$C$1000,Z7)</f>
        <v/>
      </c>
    </row>
    <row r="8">
      <c r="A8" s="3" t="inlineStr">
        <is>
          <t>ORD-1007</t>
        </is>
      </c>
      <c r="B8" s="4" t="n">
        <v>45667</v>
      </c>
      <c r="C8" s="5" t="inlineStr">
        <is>
          <t>Central</t>
        </is>
      </c>
      <c r="D8" s="5" t="inlineStr">
        <is>
          <t>Nagpur</t>
        </is>
      </c>
      <c r="E8" s="5" t="inlineStr">
        <is>
          <t>Lakshmi Priya</t>
        </is>
      </c>
      <c r="F8" s="5" t="inlineStr">
        <is>
          <t>Gel Pen Box</t>
        </is>
      </c>
      <c r="G8" s="5" t="inlineStr">
        <is>
          <t>Stationery</t>
        </is>
      </c>
      <c r="H8" s="6" t="n">
        <v>20</v>
      </c>
      <c r="I8" s="7" t="n">
        <v>180</v>
      </c>
      <c r="J8" s="8" t="n">
        <v>0</v>
      </c>
      <c r="K8" s="7">
        <f>ROUND(H8*I8*(1-J8),2)</f>
        <v/>
      </c>
      <c r="L8" s="5" t="inlineStr">
        <is>
          <t>Cash</t>
        </is>
      </c>
      <c r="M8" s="5" t="inlineStr">
        <is>
          <t>Online</t>
        </is>
      </c>
      <c r="Z8" s="11" t="inlineStr">
        <is>
          <t>South</t>
        </is>
      </c>
      <c r="AA8" s="12">
        <f>SUMIFS($K$2:$K$1000,$C$2:$C$1000,Z8)</f>
        <v/>
      </c>
    </row>
    <row r="9">
      <c r="A9" s="3" t="inlineStr">
        <is>
          <t>ORD-1008</t>
        </is>
      </c>
      <c r="B9" s="4" t="n">
        <v>45668</v>
      </c>
      <c r="C9" s="5" t="inlineStr">
        <is>
          <t>South</t>
        </is>
      </c>
      <c r="D9" s="5" t="inlineStr">
        <is>
          <t>Chennai</t>
        </is>
      </c>
      <c r="E9" s="5" t="inlineStr">
        <is>
          <t>Karthik Raja</t>
        </is>
      </c>
      <c r="F9" s="5" t="inlineStr">
        <is>
          <t>Bluetooth Speaker</t>
        </is>
      </c>
      <c r="G9" s="5" t="inlineStr">
        <is>
          <t>Electronics</t>
        </is>
      </c>
      <c r="H9" s="6" t="n">
        <v>4</v>
      </c>
      <c r="I9" s="7" t="n">
        <v>2200</v>
      </c>
      <c r="J9" s="8" t="n">
        <v>0.05</v>
      </c>
      <c r="K9" s="7">
        <f>ROUND(H9*I9*(1-J9),2)</f>
        <v/>
      </c>
      <c r="L9" s="5" t="inlineStr">
        <is>
          <t>Net Banking</t>
        </is>
      </c>
      <c r="M9" s="5" t="inlineStr">
        <is>
          <t>Phone Order</t>
        </is>
      </c>
      <c r="Z9" s="11" t="inlineStr">
        <is>
          <t>West</t>
        </is>
      </c>
      <c r="AA9" s="12">
        <f>SUMIFS($K$2:$K$1000,$C$2:$C$1000,Z9)</f>
        <v/>
      </c>
    </row>
    <row r="10">
      <c r="A10" s="3" t="inlineStr">
        <is>
          <t>ORD-1009</t>
        </is>
      </c>
      <c r="B10" s="4" t="n">
        <v>45669</v>
      </c>
      <c r="C10" s="5" t="inlineStr">
        <is>
          <t>East</t>
        </is>
      </c>
      <c r="D10" s="5" t="inlineStr">
        <is>
          <t>Bhubaneswar</t>
        </is>
      </c>
      <c r="E10" s="5" t="inlineStr">
        <is>
          <t>Karthik Raja</t>
        </is>
      </c>
      <c r="F10" s="5" t="inlineStr">
        <is>
          <t>Study Table</t>
        </is>
      </c>
      <c r="G10" s="5" t="inlineStr">
        <is>
          <t>Furniture</t>
        </is>
      </c>
      <c r="H10" s="6" t="n">
        <v>2</v>
      </c>
      <c r="I10" s="7" t="n">
        <v>7200</v>
      </c>
      <c r="J10" s="8" t="n">
        <v>0</v>
      </c>
      <c r="K10" s="7">
        <f>ROUND(H10*I10*(1-J10),2)</f>
        <v/>
      </c>
      <c r="L10" s="5" t="inlineStr">
        <is>
          <t>Credit Card</t>
        </is>
      </c>
      <c r="M10" s="5" t="inlineStr">
        <is>
          <t>Phone Order</t>
        </is>
      </c>
    </row>
    <row r="11">
      <c r="A11" s="3" t="inlineStr">
        <is>
          <t>ORD-1010</t>
        </is>
      </c>
      <c r="B11" s="4" t="n">
        <v>45669</v>
      </c>
      <c r="C11" s="5" t="inlineStr">
        <is>
          <t>West</t>
        </is>
      </c>
      <c r="D11" s="5" t="inlineStr">
        <is>
          <t>Mumbai</t>
        </is>
      </c>
      <c r="E11" s="5" t="inlineStr">
        <is>
          <t>Karthik Raja</t>
        </is>
      </c>
      <c r="F11" s="5" t="inlineStr">
        <is>
          <t>Desk Organizer</t>
        </is>
      </c>
      <c r="G11" s="5" t="inlineStr">
        <is>
          <t>Stationery</t>
        </is>
      </c>
      <c r="H11" s="6" t="n">
        <v>19</v>
      </c>
      <c r="I11" s="7" t="n">
        <v>420</v>
      </c>
      <c r="J11" s="8" t="n">
        <v>0</v>
      </c>
      <c r="K11" s="7">
        <f>ROUND(H11*I11*(1-J11),2)</f>
        <v/>
      </c>
      <c r="L11" s="5" t="inlineStr">
        <is>
          <t>Cash</t>
        </is>
      </c>
      <c r="M11" s="5" t="inlineStr">
        <is>
          <t>In-Store</t>
        </is>
      </c>
    </row>
    <row r="12">
      <c r="A12" s="3" t="inlineStr">
        <is>
          <t>ORD-1011</t>
        </is>
      </c>
      <c r="B12" s="4" t="n">
        <v>45670</v>
      </c>
      <c r="C12" s="5" t="inlineStr">
        <is>
          <t>North</t>
        </is>
      </c>
      <c r="D12" s="5" t="inlineStr">
        <is>
          <t>Chandigarh</t>
        </is>
      </c>
      <c r="E12" s="5" t="inlineStr">
        <is>
          <t>Arun Kumar</t>
        </is>
      </c>
      <c r="F12" s="5" t="inlineStr">
        <is>
          <t>Bluetooth Speaker</t>
        </is>
      </c>
      <c r="G12" s="5" t="inlineStr">
        <is>
          <t>Electronics</t>
        </is>
      </c>
      <c r="H12" s="6" t="n">
        <v>3</v>
      </c>
      <c r="I12" s="7" t="n">
        <v>2200</v>
      </c>
      <c r="J12" s="8" t="n">
        <v>0.1</v>
      </c>
      <c r="K12" s="7">
        <f>ROUND(H12*I12*(1-J12),2)</f>
        <v/>
      </c>
      <c r="L12" s="5" t="inlineStr">
        <is>
          <t>Net Banking</t>
        </is>
      </c>
      <c r="M12" s="5" t="inlineStr">
        <is>
          <t>Phone Order</t>
        </is>
      </c>
      <c r="Z12" s="10" t="inlineStr">
        <is>
          <t>Category</t>
        </is>
      </c>
      <c r="AA12" s="10" t="inlineStr">
        <is>
          <t>Total Sales</t>
        </is>
      </c>
    </row>
    <row r="13">
      <c r="A13" s="3" t="inlineStr">
        <is>
          <t>ORD-1012</t>
        </is>
      </c>
      <c r="B13" s="4" t="n">
        <v>45672</v>
      </c>
      <c r="C13" s="5" t="inlineStr">
        <is>
          <t>West</t>
        </is>
      </c>
      <c r="D13" s="5" t="inlineStr">
        <is>
          <t>Mumbai</t>
        </is>
      </c>
      <c r="E13" s="5" t="inlineStr">
        <is>
          <t>Suresh Babu</t>
        </is>
      </c>
      <c r="F13" s="5" t="inlineStr">
        <is>
          <t>Desk Organizer</t>
        </is>
      </c>
      <c r="G13" s="5" t="inlineStr">
        <is>
          <t>Stationery</t>
        </is>
      </c>
      <c r="H13" s="6" t="n">
        <v>19</v>
      </c>
      <c r="I13" s="7" t="n">
        <v>420</v>
      </c>
      <c r="J13" s="8" t="n">
        <v>0.05</v>
      </c>
      <c r="K13" s="7">
        <f>ROUND(H13*I13*(1-J13),2)</f>
        <v/>
      </c>
      <c r="L13" s="5" t="inlineStr">
        <is>
          <t>Cash</t>
        </is>
      </c>
      <c r="M13" s="5" t="inlineStr">
        <is>
          <t>In-Store</t>
        </is>
      </c>
      <c r="Z13" s="11" t="inlineStr">
        <is>
          <t>Accessories</t>
        </is>
      </c>
      <c r="AA13" s="12">
        <f>SUMIFS($K$2:$K$1000,$G$2:$G$1000,Z13)</f>
        <v/>
      </c>
    </row>
    <row r="14">
      <c r="A14" s="3" t="inlineStr">
        <is>
          <t>ORD-1013</t>
        </is>
      </c>
      <c r="B14" s="4" t="n">
        <v>45674</v>
      </c>
      <c r="C14" s="5" t="inlineStr">
        <is>
          <t>East</t>
        </is>
      </c>
      <c r="D14" s="5" t="inlineStr">
        <is>
          <t>Bhubaneswar</t>
        </is>
      </c>
      <c r="E14" s="5" t="inlineStr">
        <is>
          <t>Meena Iyer</t>
        </is>
      </c>
      <c r="F14" s="5" t="inlineStr">
        <is>
          <t>Desk Organizer</t>
        </is>
      </c>
      <c r="G14" s="5" t="inlineStr">
        <is>
          <t>Stationery</t>
        </is>
      </c>
      <c r="H14" s="6" t="n">
        <v>19</v>
      </c>
      <c r="I14" s="7" t="n">
        <v>420</v>
      </c>
      <c r="J14" s="8" t="n">
        <v>0</v>
      </c>
      <c r="K14" s="7">
        <f>ROUND(H14*I14*(1-J14),2)</f>
        <v/>
      </c>
      <c r="L14" s="5" t="inlineStr">
        <is>
          <t>Debit Card</t>
        </is>
      </c>
      <c r="M14" s="5" t="inlineStr">
        <is>
          <t>Online</t>
        </is>
      </c>
      <c r="Z14" s="11" t="inlineStr">
        <is>
          <t>Electronics</t>
        </is>
      </c>
      <c r="AA14" s="12">
        <f>SUMIFS($K$2:$K$1000,$G$2:$G$1000,Z14)</f>
        <v/>
      </c>
    </row>
    <row r="15">
      <c r="A15" s="3" t="inlineStr">
        <is>
          <t>ORD-1014</t>
        </is>
      </c>
      <c r="B15" s="4" t="n">
        <v>45676</v>
      </c>
      <c r="C15" s="5" t="inlineStr">
        <is>
          <t>North</t>
        </is>
      </c>
      <c r="D15" s="5" t="inlineStr">
        <is>
          <t>Chandigarh</t>
        </is>
      </c>
      <c r="E15" s="5" t="inlineStr">
        <is>
          <t>Arun Kumar</t>
        </is>
      </c>
      <c r="F15" s="5" t="inlineStr">
        <is>
          <t>Wireless Mouse</t>
        </is>
      </c>
      <c r="G15" s="5" t="inlineStr">
        <is>
          <t>Electronics</t>
        </is>
      </c>
      <c r="H15" s="6" t="n">
        <v>10</v>
      </c>
      <c r="I15" s="7" t="n">
        <v>650</v>
      </c>
      <c r="J15" s="8" t="n">
        <v>0</v>
      </c>
      <c r="K15" s="7">
        <f>ROUND(H15*I15*(1-J15),2)</f>
        <v/>
      </c>
      <c r="L15" s="5" t="inlineStr">
        <is>
          <t>UPI</t>
        </is>
      </c>
      <c r="M15" s="5" t="inlineStr">
        <is>
          <t>Online</t>
        </is>
      </c>
      <c r="Z15" s="11" t="inlineStr">
        <is>
          <t>Furniture</t>
        </is>
      </c>
      <c r="AA15" s="12">
        <f>SUMIFS($K$2:$K$1000,$G$2:$G$1000,Z15)</f>
        <v/>
      </c>
    </row>
    <row r="16">
      <c r="A16" s="3" t="inlineStr">
        <is>
          <t>ORD-1015</t>
        </is>
      </c>
      <c r="B16" s="4" t="n">
        <v>45685</v>
      </c>
      <c r="C16" s="5" t="inlineStr">
        <is>
          <t>North</t>
        </is>
      </c>
      <c r="D16" s="5" t="inlineStr">
        <is>
          <t>Delhi</t>
        </is>
      </c>
      <c r="E16" s="5" t="inlineStr">
        <is>
          <t>Divya Nair</t>
        </is>
      </c>
      <c r="F16" s="5" t="inlineStr">
        <is>
          <t>Headphones</t>
        </is>
      </c>
      <c r="G16" s="5" t="inlineStr">
        <is>
          <t>Electronics</t>
        </is>
      </c>
      <c r="H16" s="6" t="n">
        <v>10</v>
      </c>
      <c r="I16" s="7" t="n">
        <v>1800</v>
      </c>
      <c r="J16" s="8" t="n">
        <v>0.1</v>
      </c>
      <c r="K16" s="7">
        <f>ROUND(H16*I16*(1-J16),2)</f>
        <v/>
      </c>
      <c r="L16" s="5" t="inlineStr">
        <is>
          <t>Cash</t>
        </is>
      </c>
      <c r="M16" s="5" t="inlineStr">
        <is>
          <t>In-Store</t>
        </is>
      </c>
      <c r="Z16" s="11" t="inlineStr">
        <is>
          <t>Stationery</t>
        </is>
      </c>
      <c r="AA16" s="12">
        <f>SUMIFS($K$2:$K$1000,$G$2:$G$1000,Z16)</f>
        <v/>
      </c>
    </row>
    <row r="17">
      <c r="A17" s="3" t="inlineStr">
        <is>
          <t>ORD-1016</t>
        </is>
      </c>
      <c r="B17" s="4" t="n">
        <v>45687</v>
      </c>
      <c r="C17" s="5" t="inlineStr">
        <is>
          <t>South</t>
        </is>
      </c>
      <c r="D17" s="5" t="inlineStr">
        <is>
          <t>Hyderabad</t>
        </is>
      </c>
      <c r="E17" s="5" t="inlineStr">
        <is>
          <t>Meena Iyer</t>
        </is>
      </c>
      <c r="F17" s="5" t="inlineStr">
        <is>
          <t>Headphones</t>
        </is>
      </c>
      <c r="G17" s="5" t="inlineStr">
        <is>
          <t>Electronics</t>
        </is>
      </c>
      <c r="H17" s="6" t="n">
        <v>3</v>
      </c>
      <c r="I17" s="7" t="n">
        <v>1800</v>
      </c>
      <c r="J17" s="8" t="n">
        <v>0</v>
      </c>
      <c r="K17" s="7">
        <f>ROUND(H17*I17*(1-J17),2)</f>
        <v/>
      </c>
      <c r="L17" s="5" t="inlineStr">
        <is>
          <t>UPI</t>
        </is>
      </c>
      <c r="M17" s="5" t="inlineStr">
        <is>
          <t>Phone Order</t>
        </is>
      </c>
    </row>
    <row r="18">
      <c r="A18" s="3" t="inlineStr">
        <is>
          <t>ORD-1017</t>
        </is>
      </c>
      <c r="B18" s="4" t="n">
        <v>45688</v>
      </c>
      <c r="C18" s="5" t="inlineStr">
        <is>
          <t>East</t>
        </is>
      </c>
      <c r="D18" s="5" t="inlineStr">
        <is>
          <t>Patna</t>
        </is>
      </c>
      <c r="E18" s="5" t="inlineStr">
        <is>
          <t>Arun Kumar</t>
        </is>
      </c>
      <c r="F18" s="5" t="inlineStr">
        <is>
          <t>Office Chair</t>
        </is>
      </c>
      <c r="G18" s="5" t="inlineStr">
        <is>
          <t>Furniture</t>
        </is>
      </c>
      <c r="H18" s="6" t="n">
        <v>4</v>
      </c>
      <c r="I18" s="7" t="n">
        <v>5500</v>
      </c>
      <c r="J18" s="8" t="n">
        <v>0.1</v>
      </c>
      <c r="K18" s="7">
        <f>ROUND(H18*I18*(1-J18),2)</f>
        <v/>
      </c>
      <c r="L18" s="5" t="inlineStr">
        <is>
          <t>Credit Card</t>
        </is>
      </c>
      <c r="M18" s="5" t="inlineStr">
        <is>
          <t>Phone Order</t>
        </is>
      </c>
    </row>
    <row r="19">
      <c r="A19" s="3" t="inlineStr">
        <is>
          <t>ORD-1018</t>
        </is>
      </c>
      <c r="B19" s="4" t="n">
        <v>45689</v>
      </c>
      <c r="C19" s="5" t="inlineStr">
        <is>
          <t>East</t>
        </is>
      </c>
      <c r="D19" s="5" t="inlineStr">
        <is>
          <t>Kolkata</t>
        </is>
      </c>
      <c r="E19" s="5" t="inlineStr">
        <is>
          <t>Lakshmi Priya</t>
        </is>
      </c>
      <c r="F19" s="5" t="inlineStr">
        <is>
          <t>Wireless Mouse</t>
        </is>
      </c>
      <c r="G19" s="5" t="inlineStr">
        <is>
          <t>Electronics</t>
        </is>
      </c>
      <c r="H19" s="6" t="n">
        <v>1</v>
      </c>
      <c r="I19" s="7" t="n">
        <v>650</v>
      </c>
      <c r="J19" s="8" t="n">
        <v>0.05</v>
      </c>
      <c r="K19" s="7">
        <f>ROUND(H19*I19*(1-J19),2)</f>
        <v/>
      </c>
      <c r="L19" s="5" t="inlineStr">
        <is>
          <t>Net Banking</t>
        </is>
      </c>
      <c r="M19" s="5" t="inlineStr">
        <is>
          <t>In-Store</t>
        </is>
      </c>
      <c r="Z19" s="10" t="inlineStr">
        <is>
          <t>Month</t>
        </is>
      </c>
      <c r="AA19" s="10" t="inlineStr">
        <is>
          <t>Month Start</t>
        </is>
      </c>
      <c r="AB19" s="10" t="inlineStr">
        <is>
          <t>Total Sales</t>
        </is>
      </c>
    </row>
    <row r="20">
      <c r="A20" s="3" t="inlineStr">
        <is>
          <t>ORD-1019</t>
        </is>
      </c>
      <c r="B20" s="4" t="n">
        <v>45697</v>
      </c>
      <c r="C20" s="5" t="inlineStr">
        <is>
          <t>West</t>
        </is>
      </c>
      <c r="D20" s="5" t="inlineStr">
        <is>
          <t>Pune</t>
        </is>
      </c>
      <c r="E20" s="5" t="inlineStr">
        <is>
          <t>Arun Kumar</t>
        </is>
      </c>
      <c r="F20" s="5" t="inlineStr">
        <is>
          <t>Study Table</t>
        </is>
      </c>
      <c r="G20" s="5" t="inlineStr">
        <is>
          <t>Furniture</t>
        </is>
      </c>
      <c r="H20" s="6" t="n">
        <v>2</v>
      </c>
      <c r="I20" s="7" t="n">
        <v>7200</v>
      </c>
      <c r="J20" s="8" t="n">
        <v>0</v>
      </c>
      <c r="K20" s="7">
        <f>ROUND(H20*I20*(1-J20),2)</f>
        <v/>
      </c>
      <c r="L20" s="5" t="inlineStr">
        <is>
          <t>Debit Card</t>
        </is>
      </c>
      <c r="M20" s="5" t="inlineStr">
        <is>
          <t>Phone Order</t>
        </is>
      </c>
      <c r="Z20" s="11" t="inlineStr">
        <is>
          <t>Jan 2025</t>
        </is>
      </c>
      <c r="AA20" s="13" t="n">
        <v>45658</v>
      </c>
      <c r="AB20" s="12">
        <f>SUMIFS($K$2:$K$1000,$B$2:$B$1000,"&gt;="&amp;AA20,$B$2:$B$1000,"&lt;"&amp;EDATE(AA20,1))</f>
        <v/>
      </c>
    </row>
    <row r="21">
      <c r="A21" s="3" t="inlineStr">
        <is>
          <t>ORD-1020</t>
        </is>
      </c>
      <c r="B21" s="4" t="n">
        <v>45701</v>
      </c>
      <c r="C21" s="5" t="inlineStr">
        <is>
          <t>West</t>
        </is>
      </c>
      <c r="D21" s="5" t="inlineStr">
        <is>
          <t>Mumbai</t>
        </is>
      </c>
      <c r="E21" s="5" t="inlineStr">
        <is>
          <t>Lakshmi Priya</t>
        </is>
      </c>
      <c r="F21" s="5" t="inlineStr">
        <is>
          <t>Office Chair</t>
        </is>
      </c>
      <c r="G21" s="5" t="inlineStr">
        <is>
          <t>Furniture</t>
        </is>
      </c>
      <c r="H21" s="6" t="n">
        <v>2</v>
      </c>
      <c r="I21" s="7" t="n">
        <v>5500</v>
      </c>
      <c r="J21" s="8" t="n">
        <v>0.15</v>
      </c>
      <c r="K21" s="7">
        <f>ROUND(H21*I21*(1-J21),2)</f>
        <v/>
      </c>
      <c r="L21" s="5" t="inlineStr">
        <is>
          <t>Debit Card</t>
        </is>
      </c>
      <c r="M21" s="5" t="inlineStr">
        <is>
          <t>In-Store</t>
        </is>
      </c>
      <c r="Z21" s="11" t="inlineStr">
        <is>
          <t>Feb 2025</t>
        </is>
      </c>
      <c r="AA21" s="13" t="n">
        <v>45689</v>
      </c>
      <c r="AB21" s="12">
        <f>SUMIFS($K$2:$K$1000,$B$2:$B$1000,"&gt;="&amp;AA21,$B$2:$B$1000,"&lt;"&amp;EDATE(AA21,1))</f>
        <v/>
      </c>
    </row>
    <row r="22">
      <c r="A22" s="3" t="inlineStr">
        <is>
          <t>ORD-1021</t>
        </is>
      </c>
      <c r="B22" s="4" t="n">
        <v>45706</v>
      </c>
      <c r="C22" s="5" t="inlineStr">
        <is>
          <t>South</t>
        </is>
      </c>
      <c r="D22" s="5" t="inlineStr">
        <is>
          <t>Hyderabad</t>
        </is>
      </c>
      <c r="E22" s="5" t="inlineStr">
        <is>
          <t>Divya Nair</t>
        </is>
      </c>
      <c r="F22" s="5" t="inlineStr">
        <is>
          <t>Headphones</t>
        </is>
      </c>
      <c r="G22" s="5" t="inlineStr">
        <is>
          <t>Electronics</t>
        </is>
      </c>
      <c r="H22" s="6" t="n">
        <v>5</v>
      </c>
      <c r="I22" s="7" t="n">
        <v>1800</v>
      </c>
      <c r="J22" s="8" t="n">
        <v>0.05</v>
      </c>
      <c r="K22" s="7">
        <f>ROUND(H22*I22*(1-J22),2)</f>
        <v/>
      </c>
      <c r="L22" s="5" t="inlineStr">
        <is>
          <t>Debit Card</t>
        </is>
      </c>
      <c r="M22" s="5" t="inlineStr">
        <is>
          <t>Online</t>
        </is>
      </c>
      <c r="Z22" s="11" t="inlineStr">
        <is>
          <t>Mar 2025</t>
        </is>
      </c>
      <c r="AA22" s="13" t="n">
        <v>45717</v>
      </c>
      <c r="AB22" s="12">
        <f>SUMIFS($K$2:$K$1000,$B$2:$B$1000,"&gt;="&amp;AA22,$B$2:$B$1000,"&lt;"&amp;EDATE(AA22,1))</f>
        <v/>
      </c>
    </row>
    <row r="23">
      <c r="A23" s="3" t="inlineStr">
        <is>
          <t>ORD-1022</t>
        </is>
      </c>
      <c r="B23" s="4" t="n">
        <v>45708</v>
      </c>
      <c r="C23" s="5" t="inlineStr">
        <is>
          <t>East</t>
        </is>
      </c>
      <c r="D23" s="5" t="inlineStr">
        <is>
          <t>Kolkata</t>
        </is>
      </c>
      <c r="E23" s="5" t="inlineStr">
        <is>
          <t>Divya Nair</t>
        </is>
      </c>
      <c r="F23" s="5" t="inlineStr">
        <is>
          <t>Notebook Pack</t>
        </is>
      </c>
      <c r="G23" s="5" t="inlineStr">
        <is>
          <t>Stationery</t>
        </is>
      </c>
      <c r="H23" s="6" t="n">
        <v>10</v>
      </c>
      <c r="I23" s="7" t="n">
        <v>250</v>
      </c>
      <c r="J23" s="8" t="n">
        <v>0.1</v>
      </c>
      <c r="K23" s="7">
        <f>ROUND(H23*I23*(1-J23),2)</f>
        <v/>
      </c>
      <c r="L23" s="5" t="inlineStr">
        <is>
          <t>UPI</t>
        </is>
      </c>
      <c r="M23" s="5" t="inlineStr">
        <is>
          <t>In-Store</t>
        </is>
      </c>
      <c r="Z23" s="11" t="inlineStr">
        <is>
          <t>Apr 2025</t>
        </is>
      </c>
      <c r="AA23" s="13" t="n">
        <v>45748</v>
      </c>
      <c r="AB23" s="12">
        <f>SUMIFS($K$2:$K$1000,$B$2:$B$1000,"&gt;="&amp;AA23,$B$2:$B$1000,"&lt;"&amp;EDATE(AA23,1))</f>
        <v/>
      </c>
    </row>
    <row r="24">
      <c r="A24" s="3" t="inlineStr">
        <is>
          <t>ORD-1023</t>
        </is>
      </c>
      <c r="B24" s="4" t="n">
        <v>45710</v>
      </c>
      <c r="C24" s="5" t="inlineStr">
        <is>
          <t>North</t>
        </is>
      </c>
      <c r="D24" s="5" t="inlineStr">
        <is>
          <t>Chandigarh</t>
        </is>
      </c>
      <c r="E24" s="5" t="inlineStr">
        <is>
          <t>Divya Nair</t>
        </is>
      </c>
      <c r="F24" s="5" t="inlineStr">
        <is>
          <t>Bluetooth Speaker</t>
        </is>
      </c>
      <c r="G24" s="5" t="inlineStr">
        <is>
          <t>Electronics</t>
        </is>
      </c>
      <c r="H24" s="6" t="n">
        <v>6</v>
      </c>
      <c r="I24" s="7" t="n">
        <v>2200</v>
      </c>
      <c r="J24" s="8" t="n">
        <v>0.05</v>
      </c>
      <c r="K24" s="7">
        <f>ROUND(H24*I24*(1-J24),2)</f>
        <v/>
      </c>
      <c r="L24" s="5" t="inlineStr">
        <is>
          <t>Debit Card</t>
        </is>
      </c>
      <c r="M24" s="5" t="inlineStr">
        <is>
          <t>Online</t>
        </is>
      </c>
      <c r="Z24" s="11" t="inlineStr">
        <is>
          <t>May 2025</t>
        </is>
      </c>
      <c r="AA24" s="13" t="n">
        <v>45778</v>
      </c>
      <c r="AB24" s="12">
        <f>SUMIFS($K$2:$K$1000,$B$2:$B$1000,"&gt;="&amp;AA24,$B$2:$B$1000,"&lt;"&amp;EDATE(AA24,1))</f>
        <v/>
      </c>
    </row>
    <row r="25">
      <c r="A25" s="3" t="inlineStr">
        <is>
          <t>ORD-1024</t>
        </is>
      </c>
      <c r="B25" s="4" t="n">
        <v>45710</v>
      </c>
      <c r="C25" s="5" t="inlineStr">
        <is>
          <t>Central</t>
        </is>
      </c>
      <c r="D25" s="5" t="inlineStr">
        <is>
          <t>Indore</t>
        </is>
      </c>
      <c r="E25" s="5" t="inlineStr">
        <is>
          <t>Divya Nair</t>
        </is>
      </c>
      <c r="F25" s="5" t="inlineStr">
        <is>
          <t>Desk Organizer</t>
        </is>
      </c>
      <c r="G25" s="5" t="inlineStr">
        <is>
          <t>Stationery</t>
        </is>
      </c>
      <c r="H25" s="6" t="n">
        <v>4</v>
      </c>
      <c r="I25" s="7" t="n">
        <v>420</v>
      </c>
      <c r="J25" s="8" t="n">
        <v>0.05</v>
      </c>
      <c r="K25" s="7">
        <f>ROUND(H25*I25*(1-J25),2)</f>
        <v/>
      </c>
      <c r="L25" s="5" t="inlineStr">
        <is>
          <t>Cash</t>
        </is>
      </c>
      <c r="M25" s="5" t="inlineStr">
        <is>
          <t>Online</t>
        </is>
      </c>
      <c r="Z25" s="11" t="inlineStr">
        <is>
          <t>Jun 2025</t>
        </is>
      </c>
      <c r="AA25" s="13" t="n">
        <v>45809</v>
      </c>
      <c r="AB25" s="12">
        <f>SUMIFS($K$2:$K$1000,$B$2:$B$1000,"&gt;="&amp;AA25,$B$2:$B$1000,"&lt;"&amp;EDATE(AA25,1))</f>
        <v/>
      </c>
    </row>
    <row r="26">
      <c r="A26" s="3" t="inlineStr">
        <is>
          <t>ORD-1025</t>
        </is>
      </c>
      <c r="B26" s="4" t="n">
        <v>45711</v>
      </c>
      <c r="C26" s="5" t="inlineStr">
        <is>
          <t>West</t>
        </is>
      </c>
      <c r="D26" s="5" t="inlineStr">
        <is>
          <t>Mumbai</t>
        </is>
      </c>
      <c r="E26" s="5" t="inlineStr">
        <is>
          <t>Arun Kumar</t>
        </is>
      </c>
      <c r="F26" s="5" t="inlineStr">
        <is>
          <t>Office Chair</t>
        </is>
      </c>
      <c r="G26" s="5" t="inlineStr">
        <is>
          <t>Furniture</t>
        </is>
      </c>
      <c r="H26" s="6" t="n">
        <v>1</v>
      </c>
      <c r="I26" s="7" t="n">
        <v>5500</v>
      </c>
      <c r="J26" s="8" t="n">
        <v>0</v>
      </c>
      <c r="K26" s="7">
        <f>ROUND(H26*I26*(1-J26),2)</f>
        <v/>
      </c>
      <c r="L26" s="5" t="inlineStr">
        <is>
          <t>Cash</t>
        </is>
      </c>
      <c r="M26" s="5" t="inlineStr">
        <is>
          <t>In-Store</t>
        </is>
      </c>
      <c r="Z26" s="11" t="inlineStr">
        <is>
          <t>Jul 2025</t>
        </is>
      </c>
      <c r="AA26" s="13" t="n">
        <v>45839</v>
      </c>
      <c r="AB26" s="12">
        <f>SUMIFS($K$2:$K$1000,$B$2:$B$1000,"&gt;="&amp;AA26,$B$2:$B$1000,"&lt;"&amp;EDATE(AA26,1))</f>
        <v/>
      </c>
    </row>
    <row r="27">
      <c r="A27" s="3" t="inlineStr">
        <is>
          <t>ORD-1026</t>
        </is>
      </c>
      <c r="B27" s="4" t="n">
        <v>45712</v>
      </c>
      <c r="C27" s="5" t="inlineStr">
        <is>
          <t>East</t>
        </is>
      </c>
      <c r="D27" s="5" t="inlineStr">
        <is>
          <t>Bhubaneswar</t>
        </is>
      </c>
      <c r="E27" s="5" t="inlineStr">
        <is>
          <t>Suresh Babu</t>
        </is>
      </c>
      <c r="F27" s="5" t="inlineStr">
        <is>
          <t>Notebook Pack</t>
        </is>
      </c>
      <c r="G27" s="5" t="inlineStr">
        <is>
          <t>Stationery</t>
        </is>
      </c>
      <c r="H27" s="6" t="n">
        <v>14</v>
      </c>
      <c r="I27" s="7" t="n">
        <v>250</v>
      </c>
      <c r="J27" s="8" t="n">
        <v>0</v>
      </c>
      <c r="K27" s="7">
        <f>ROUND(H27*I27*(1-J27),2)</f>
        <v/>
      </c>
      <c r="L27" s="5" t="inlineStr">
        <is>
          <t>Debit Card</t>
        </is>
      </c>
      <c r="M27" s="5" t="inlineStr">
        <is>
          <t>Online</t>
        </is>
      </c>
      <c r="Z27" s="11" t="inlineStr">
        <is>
          <t>Aug 2025</t>
        </is>
      </c>
      <c r="AA27" s="13" t="n">
        <v>45870</v>
      </c>
      <c r="AB27" s="12">
        <f>SUMIFS($K$2:$K$1000,$B$2:$B$1000,"&gt;="&amp;AA27,$B$2:$B$1000,"&lt;"&amp;EDATE(AA27,1))</f>
        <v/>
      </c>
    </row>
    <row r="28">
      <c r="A28" s="3" t="inlineStr">
        <is>
          <t>ORD-1027</t>
        </is>
      </c>
      <c r="B28" s="4" t="n">
        <v>45714</v>
      </c>
      <c r="C28" s="5" t="inlineStr">
        <is>
          <t>Central</t>
        </is>
      </c>
      <c r="D28" s="5" t="inlineStr">
        <is>
          <t>Indore</t>
        </is>
      </c>
      <c r="E28" s="5" t="inlineStr">
        <is>
          <t>Divya Nair</t>
        </is>
      </c>
      <c r="F28" s="5" t="inlineStr">
        <is>
          <t>Bluetooth Speaker</t>
        </is>
      </c>
      <c r="G28" s="5" t="inlineStr">
        <is>
          <t>Electronics</t>
        </is>
      </c>
      <c r="H28" s="6" t="n">
        <v>3</v>
      </c>
      <c r="I28" s="7" t="n">
        <v>2200</v>
      </c>
      <c r="J28" s="8" t="n">
        <v>0</v>
      </c>
      <c r="K28" s="7">
        <f>ROUND(H28*I28*(1-J28),2)</f>
        <v/>
      </c>
      <c r="L28" s="5" t="inlineStr">
        <is>
          <t>Debit Card</t>
        </is>
      </c>
      <c r="M28" s="5" t="inlineStr">
        <is>
          <t>In-Store</t>
        </is>
      </c>
      <c r="Z28" s="11" t="inlineStr">
        <is>
          <t>Sep 2025</t>
        </is>
      </c>
      <c r="AA28" s="13" t="n">
        <v>45901</v>
      </c>
      <c r="AB28" s="12">
        <f>SUMIFS($K$2:$K$1000,$B$2:$B$1000,"&gt;="&amp;AA28,$B$2:$B$1000,"&lt;"&amp;EDATE(AA28,1))</f>
        <v/>
      </c>
    </row>
    <row r="29">
      <c r="A29" s="3" t="inlineStr">
        <is>
          <t>ORD-1028</t>
        </is>
      </c>
      <c r="B29" s="4" t="n">
        <v>45727</v>
      </c>
      <c r="C29" s="5" t="inlineStr">
        <is>
          <t>North</t>
        </is>
      </c>
      <c r="D29" s="5" t="inlineStr">
        <is>
          <t>Jaipur</t>
        </is>
      </c>
      <c r="E29" s="5" t="inlineStr">
        <is>
          <t>Divya Nair</t>
        </is>
      </c>
      <c r="F29" s="5" t="inlineStr">
        <is>
          <t>Gel Pen Box</t>
        </is>
      </c>
      <c r="G29" s="5" t="inlineStr">
        <is>
          <t>Stationery</t>
        </is>
      </c>
      <c r="H29" s="6" t="n">
        <v>43</v>
      </c>
      <c r="I29" s="7" t="n">
        <v>180</v>
      </c>
      <c r="J29" s="8" t="n">
        <v>0.05</v>
      </c>
      <c r="K29" s="7">
        <f>ROUND(H29*I29*(1-J29),2)</f>
        <v/>
      </c>
      <c r="L29" s="5" t="inlineStr">
        <is>
          <t>Credit Card</t>
        </is>
      </c>
      <c r="M29" s="5" t="inlineStr">
        <is>
          <t>Online</t>
        </is>
      </c>
      <c r="Z29" s="11" t="inlineStr">
        <is>
          <t>Oct 2025</t>
        </is>
      </c>
      <c r="AA29" s="13" t="n">
        <v>45931</v>
      </c>
      <c r="AB29" s="12">
        <f>SUMIFS($K$2:$K$1000,$B$2:$B$1000,"&gt;="&amp;AA29,$B$2:$B$1000,"&lt;"&amp;EDATE(AA29,1))</f>
        <v/>
      </c>
    </row>
    <row r="30">
      <c r="A30" s="3" t="inlineStr">
        <is>
          <t>ORD-1029</t>
        </is>
      </c>
      <c r="B30" s="4" t="n">
        <v>45731</v>
      </c>
      <c r="C30" s="5" t="inlineStr">
        <is>
          <t>Central</t>
        </is>
      </c>
      <c r="D30" s="5" t="inlineStr">
        <is>
          <t>Indore</t>
        </is>
      </c>
      <c r="E30" s="5" t="inlineStr">
        <is>
          <t>Suresh Babu</t>
        </is>
      </c>
      <c r="F30" s="5" t="inlineStr">
        <is>
          <t>Wireless Mouse</t>
        </is>
      </c>
      <c r="G30" s="5" t="inlineStr">
        <is>
          <t>Electronics</t>
        </is>
      </c>
      <c r="H30" s="6" t="n">
        <v>13</v>
      </c>
      <c r="I30" s="7" t="n">
        <v>650</v>
      </c>
      <c r="J30" s="8" t="n">
        <v>0.1</v>
      </c>
      <c r="K30" s="7">
        <f>ROUND(H30*I30*(1-J30),2)</f>
        <v/>
      </c>
      <c r="L30" s="5" t="inlineStr">
        <is>
          <t>Net Banking</t>
        </is>
      </c>
      <c r="M30" s="5" t="inlineStr">
        <is>
          <t>Phone Order</t>
        </is>
      </c>
      <c r="Z30" s="11" t="inlineStr">
        <is>
          <t>Nov 2025</t>
        </is>
      </c>
      <c r="AA30" s="13" t="n">
        <v>45962</v>
      </c>
      <c r="AB30" s="12">
        <f>SUMIFS($K$2:$K$1000,$B$2:$B$1000,"&gt;="&amp;AA30,$B$2:$B$1000,"&lt;"&amp;EDATE(AA30,1))</f>
        <v/>
      </c>
    </row>
    <row r="31">
      <c r="A31" s="3" t="inlineStr">
        <is>
          <t>ORD-1030</t>
        </is>
      </c>
      <c r="B31" s="4" t="n">
        <v>45733</v>
      </c>
      <c r="C31" s="5" t="inlineStr">
        <is>
          <t>South</t>
        </is>
      </c>
      <c r="D31" s="5" t="inlineStr">
        <is>
          <t>Chennai</t>
        </is>
      </c>
      <c r="E31" s="5" t="inlineStr">
        <is>
          <t>Arun Kumar</t>
        </is>
      </c>
      <c r="F31" s="5" t="inlineStr">
        <is>
          <t>Office Chair</t>
        </is>
      </c>
      <c r="G31" s="5" t="inlineStr">
        <is>
          <t>Furniture</t>
        </is>
      </c>
      <c r="H31" s="6" t="n">
        <v>4</v>
      </c>
      <c r="I31" s="7" t="n">
        <v>5500</v>
      </c>
      <c r="J31" s="8" t="n">
        <v>0</v>
      </c>
      <c r="K31" s="7">
        <f>ROUND(H31*I31*(1-J31),2)</f>
        <v/>
      </c>
      <c r="L31" s="5" t="inlineStr">
        <is>
          <t>Credit Card</t>
        </is>
      </c>
      <c r="M31" s="5" t="inlineStr">
        <is>
          <t>In-Store</t>
        </is>
      </c>
      <c r="Z31" s="11" t="inlineStr">
        <is>
          <t>Dec 2025</t>
        </is>
      </c>
      <c r="AA31" s="13" t="n">
        <v>45992</v>
      </c>
      <c r="AB31" s="12">
        <f>SUMIFS($K$2:$K$1000,$B$2:$B$1000,"&gt;="&amp;AA31,$B$2:$B$1000,"&lt;"&amp;EDATE(AA31,1))</f>
        <v/>
      </c>
    </row>
    <row r="32">
      <c r="A32" s="3" t="inlineStr">
        <is>
          <t>ORD-1031</t>
        </is>
      </c>
      <c r="B32" s="4" t="n">
        <v>45733</v>
      </c>
      <c r="C32" s="5" t="inlineStr">
        <is>
          <t>North</t>
        </is>
      </c>
      <c r="D32" s="5" t="inlineStr">
        <is>
          <t>Jaipur</t>
        </is>
      </c>
      <c r="E32" s="5" t="inlineStr">
        <is>
          <t>Suresh Babu</t>
        </is>
      </c>
      <c r="F32" s="5" t="inlineStr">
        <is>
          <t>Notebook Pack</t>
        </is>
      </c>
      <c r="G32" s="5" t="inlineStr">
        <is>
          <t>Stationery</t>
        </is>
      </c>
      <c r="H32" s="6" t="n">
        <v>32</v>
      </c>
      <c r="I32" s="7" t="n">
        <v>250</v>
      </c>
      <c r="J32" s="8" t="n">
        <v>0.05</v>
      </c>
      <c r="K32" s="7">
        <f>ROUND(H32*I32*(1-J32),2)</f>
        <v/>
      </c>
      <c r="L32" s="5" t="inlineStr">
        <is>
          <t>UPI</t>
        </is>
      </c>
      <c r="M32" s="5" t="inlineStr">
        <is>
          <t>Phone Order</t>
        </is>
      </c>
    </row>
    <row r="33">
      <c r="A33" s="3" t="inlineStr">
        <is>
          <t>ORD-1032</t>
        </is>
      </c>
      <c r="B33" s="4" t="n">
        <v>45740</v>
      </c>
      <c r="C33" s="5" t="inlineStr">
        <is>
          <t>West</t>
        </is>
      </c>
      <c r="D33" s="5" t="inlineStr">
        <is>
          <t>Mumbai</t>
        </is>
      </c>
      <c r="E33" s="5" t="inlineStr">
        <is>
          <t>Karthik Raja</t>
        </is>
      </c>
      <c r="F33" s="5" t="inlineStr">
        <is>
          <t>Bookshelf</t>
        </is>
      </c>
      <c r="G33" s="5" t="inlineStr">
        <is>
          <t>Furniture</t>
        </is>
      </c>
      <c r="H33" s="6" t="n">
        <v>2</v>
      </c>
      <c r="I33" s="7" t="n">
        <v>4800</v>
      </c>
      <c r="J33" s="8" t="n">
        <v>0</v>
      </c>
      <c r="K33" s="7">
        <f>ROUND(H33*I33*(1-J33),2)</f>
        <v/>
      </c>
      <c r="L33" s="5" t="inlineStr">
        <is>
          <t>UPI</t>
        </is>
      </c>
      <c r="M33" s="5" t="inlineStr">
        <is>
          <t>Online</t>
        </is>
      </c>
    </row>
    <row r="34">
      <c r="A34" s="3" t="inlineStr">
        <is>
          <t>ORD-1033</t>
        </is>
      </c>
      <c r="B34" s="4" t="n">
        <v>45742</v>
      </c>
      <c r="C34" s="5" t="inlineStr">
        <is>
          <t>West</t>
        </is>
      </c>
      <c r="D34" s="5" t="inlineStr">
        <is>
          <t>Ahmedabad</t>
        </is>
      </c>
      <c r="E34" s="5" t="inlineStr">
        <is>
          <t>Suresh Babu</t>
        </is>
      </c>
      <c r="F34" s="5" t="inlineStr">
        <is>
          <t>Wireless Mouse</t>
        </is>
      </c>
      <c r="G34" s="5" t="inlineStr">
        <is>
          <t>Electronics</t>
        </is>
      </c>
      <c r="H34" s="6" t="n">
        <v>1</v>
      </c>
      <c r="I34" s="7" t="n">
        <v>650</v>
      </c>
      <c r="J34" s="8" t="n">
        <v>0.1</v>
      </c>
      <c r="K34" s="7">
        <f>ROUND(H34*I34*(1-J34),2)</f>
        <v/>
      </c>
      <c r="L34" s="5" t="inlineStr">
        <is>
          <t>Credit Card</t>
        </is>
      </c>
      <c r="M34" s="5" t="inlineStr">
        <is>
          <t>Phone Order</t>
        </is>
      </c>
    </row>
    <row r="35">
      <c r="A35" s="3" t="inlineStr">
        <is>
          <t>ORD-1034</t>
        </is>
      </c>
      <c r="B35" s="4" t="n">
        <v>45743</v>
      </c>
      <c r="C35" s="5" t="inlineStr">
        <is>
          <t>South</t>
        </is>
      </c>
      <c r="D35" s="5" t="inlineStr">
        <is>
          <t>Chennai</t>
        </is>
      </c>
      <c r="E35" s="5" t="inlineStr">
        <is>
          <t>Suresh Babu</t>
        </is>
      </c>
      <c r="F35" s="5" t="inlineStr">
        <is>
          <t>Office Chair</t>
        </is>
      </c>
      <c r="G35" s="5" t="inlineStr">
        <is>
          <t>Furniture</t>
        </is>
      </c>
      <c r="H35" s="6" t="n">
        <v>3</v>
      </c>
      <c r="I35" s="7" t="n">
        <v>5500</v>
      </c>
      <c r="J35" s="8" t="n">
        <v>0.1</v>
      </c>
      <c r="K35" s="7">
        <f>ROUND(H35*I35*(1-J35),2)</f>
        <v/>
      </c>
      <c r="L35" s="5" t="inlineStr">
        <is>
          <t>UPI</t>
        </is>
      </c>
      <c r="M35" s="5" t="inlineStr">
        <is>
          <t>Online</t>
        </is>
      </c>
    </row>
    <row r="36">
      <c r="A36" s="3" t="inlineStr">
        <is>
          <t>ORD-1035</t>
        </is>
      </c>
      <c r="B36" s="4" t="n">
        <v>45744</v>
      </c>
      <c r="C36" s="5" t="inlineStr">
        <is>
          <t>Central</t>
        </is>
      </c>
      <c r="D36" s="5" t="inlineStr">
        <is>
          <t>Bhopal</t>
        </is>
      </c>
      <c r="E36" s="5" t="inlineStr">
        <is>
          <t>Divya Nair</t>
        </is>
      </c>
      <c r="F36" s="5" t="inlineStr">
        <is>
          <t>Headphones</t>
        </is>
      </c>
      <c r="G36" s="5" t="inlineStr">
        <is>
          <t>Electronics</t>
        </is>
      </c>
      <c r="H36" s="6" t="n">
        <v>8</v>
      </c>
      <c r="I36" s="7" t="n">
        <v>1800</v>
      </c>
      <c r="J36" s="8" t="n">
        <v>0</v>
      </c>
      <c r="K36" s="7">
        <f>ROUND(H36*I36*(1-J36),2)</f>
        <v/>
      </c>
      <c r="L36" s="5" t="inlineStr">
        <is>
          <t>Net Banking</t>
        </is>
      </c>
      <c r="M36" s="5" t="inlineStr">
        <is>
          <t>In-Store</t>
        </is>
      </c>
    </row>
    <row r="37">
      <c r="A37" s="3" t="inlineStr">
        <is>
          <t>ORD-1036</t>
        </is>
      </c>
      <c r="B37" s="4" t="n">
        <v>45745</v>
      </c>
      <c r="C37" s="5" t="inlineStr">
        <is>
          <t>Central</t>
        </is>
      </c>
      <c r="D37" s="5" t="inlineStr">
        <is>
          <t>Indore</t>
        </is>
      </c>
      <c r="E37" s="5" t="inlineStr">
        <is>
          <t>Karthik Raja</t>
        </is>
      </c>
      <c r="F37" s="5" t="inlineStr">
        <is>
          <t>Notebook Pack</t>
        </is>
      </c>
      <c r="G37" s="5" t="inlineStr">
        <is>
          <t>Stationery</t>
        </is>
      </c>
      <c r="H37" s="6" t="n">
        <v>19</v>
      </c>
      <c r="I37" s="7" t="n">
        <v>250</v>
      </c>
      <c r="J37" s="8" t="n">
        <v>0.05</v>
      </c>
      <c r="K37" s="7">
        <f>ROUND(H37*I37*(1-J37),2)</f>
        <v/>
      </c>
      <c r="L37" s="5" t="inlineStr">
        <is>
          <t>UPI</t>
        </is>
      </c>
      <c r="M37" s="5" t="inlineStr">
        <is>
          <t>Phone Order</t>
        </is>
      </c>
    </row>
    <row r="38">
      <c r="A38" s="3" t="inlineStr">
        <is>
          <t>ORD-1037</t>
        </is>
      </c>
      <c r="B38" s="4" t="n">
        <v>45746</v>
      </c>
      <c r="C38" s="5" t="inlineStr">
        <is>
          <t>West</t>
        </is>
      </c>
      <c r="D38" s="5" t="inlineStr">
        <is>
          <t>Mumbai</t>
        </is>
      </c>
      <c r="E38" s="5" t="inlineStr">
        <is>
          <t>Suresh Babu</t>
        </is>
      </c>
      <c r="F38" s="5" t="inlineStr">
        <is>
          <t>Phone Stand</t>
        </is>
      </c>
      <c r="G38" s="5" t="inlineStr">
        <is>
          <t>Accessories</t>
        </is>
      </c>
      <c r="H38" s="6" t="n">
        <v>15</v>
      </c>
      <c r="I38" s="7" t="n">
        <v>350</v>
      </c>
      <c r="J38" s="8" t="n">
        <v>0.1</v>
      </c>
      <c r="K38" s="7">
        <f>ROUND(H38*I38*(1-J38),2)</f>
        <v/>
      </c>
      <c r="L38" s="5" t="inlineStr">
        <is>
          <t>Net Banking</t>
        </is>
      </c>
      <c r="M38" s="5" t="inlineStr">
        <is>
          <t>Phone Order</t>
        </is>
      </c>
    </row>
    <row r="39">
      <c r="A39" s="3" t="inlineStr">
        <is>
          <t>ORD-1038</t>
        </is>
      </c>
      <c r="B39" s="4" t="n">
        <v>45747</v>
      </c>
      <c r="C39" s="5" t="inlineStr">
        <is>
          <t>East</t>
        </is>
      </c>
      <c r="D39" s="5" t="inlineStr">
        <is>
          <t>Patna</t>
        </is>
      </c>
      <c r="E39" s="5" t="inlineStr">
        <is>
          <t>Suresh Babu</t>
        </is>
      </c>
      <c r="F39" s="5" t="inlineStr">
        <is>
          <t>Headphones</t>
        </is>
      </c>
      <c r="G39" s="5" t="inlineStr">
        <is>
          <t>Electronics</t>
        </is>
      </c>
      <c r="H39" s="6" t="n">
        <v>1</v>
      </c>
      <c r="I39" s="7" t="n">
        <v>1800</v>
      </c>
      <c r="J39" s="8" t="n">
        <v>0</v>
      </c>
      <c r="K39" s="7">
        <f>ROUND(H39*I39*(1-J39),2)</f>
        <v/>
      </c>
      <c r="L39" s="5" t="inlineStr">
        <is>
          <t>Debit Card</t>
        </is>
      </c>
      <c r="M39" s="5" t="inlineStr">
        <is>
          <t>Online</t>
        </is>
      </c>
    </row>
    <row r="40">
      <c r="A40" s="3" t="inlineStr">
        <is>
          <t>ORD-1039</t>
        </is>
      </c>
      <c r="B40" s="4" t="n">
        <v>45747</v>
      </c>
      <c r="C40" s="5" t="inlineStr">
        <is>
          <t>Central</t>
        </is>
      </c>
      <c r="D40" s="5" t="inlineStr">
        <is>
          <t>Bhopal</t>
        </is>
      </c>
      <c r="E40" s="5" t="inlineStr">
        <is>
          <t>Suresh Babu</t>
        </is>
      </c>
      <c r="F40" s="5" t="inlineStr">
        <is>
          <t>Office Chair</t>
        </is>
      </c>
      <c r="G40" s="5" t="inlineStr">
        <is>
          <t>Furniture</t>
        </is>
      </c>
      <c r="H40" s="6" t="n">
        <v>3</v>
      </c>
      <c r="I40" s="7" t="n">
        <v>5500</v>
      </c>
      <c r="J40" s="8" t="n">
        <v>0.05</v>
      </c>
      <c r="K40" s="7">
        <f>ROUND(H40*I40*(1-J40),2)</f>
        <v/>
      </c>
      <c r="L40" s="5" t="inlineStr">
        <is>
          <t>Debit Card</t>
        </is>
      </c>
      <c r="M40" s="5" t="inlineStr">
        <is>
          <t>Online</t>
        </is>
      </c>
    </row>
    <row r="41">
      <c r="A41" s="3" t="inlineStr">
        <is>
          <t>ORD-1040</t>
        </is>
      </c>
      <c r="B41" s="4" t="n">
        <v>45748</v>
      </c>
      <c r="C41" s="5" t="inlineStr">
        <is>
          <t>West</t>
        </is>
      </c>
      <c r="D41" s="5" t="inlineStr">
        <is>
          <t>Ahmedabad</t>
        </is>
      </c>
      <c r="E41" s="5" t="inlineStr">
        <is>
          <t>Divya Nair</t>
        </is>
      </c>
      <c r="F41" s="5" t="inlineStr">
        <is>
          <t>Keyboard</t>
        </is>
      </c>
      <c r="G41" s="5" t="inlineStr">
        <is>
          <t>Electronics</t>
        </is>
      </c>
      <c r="H41" s="6" t="n">
        <v>2</v>
      </c>
      <c r="I41" s="7" t="n">
        <v>1200</v>
      </c>
      <c r="J41" s="8" t="n">
        <v>0.1</v>
      </c>
      <c r="K41" s="7">
        <f>ROUND(H41*I41*(1-J41),2)</f>
        <v/>
      </c>
      <c r="L41" s="5" t="inlineStr">
        <is>
          <t>Credit Card</t>
        </is>
      </c>
      <c r="M41" s="5" t="inlineStr">
        <is>
          <t>In-Store</t>
        </is>
      </c>
    </row>
    <row r="42">
      <c r="A42" s="3" t="inlineStr">
        <is>
          <t>ORD-1041</t>
        </is>
      </c>
      <c r="B42" s="4" t="n">
        <v>45748</v>
      </c>
      <c r="C42" s="5" t="inlineStr">
        <is>
          <t>West</t>
        </is>
      </c>
      <c r="D42" s="5" t="inlineStr">
        <is>
          <t>Mumbai</t>
        </is>
      </c>
      <c r="E42" s="5" t="inlineStr">
        <is>
          <t>Lakshmi Priya</t>
        </is>
      </c>
      <c r="F42" s="5" t="inlineStr">
        <is>
          <t>Desk Organizer</t>
        </is>
      </c>
      <c r="G42" s="5" t="inlineStr">
        <is>
          <t>Stationery</t>
        </is>
      </c>
      <c r="H42" s="6" t="n">
        <v>3</v>
      </c>
      <c r="I42" s="7" t="n">
        <v>420</v>
      </c>
      <c r="J42" s="8" t="n">
        <v>0.15</v>
      </c>
      <c r="K42" s="7">
        <f>ROUND(H42*I42*(1-J42),2)</f>
        <v/>
      </c>
      <c r="L42" s="5" t="inlineStr">
        <is>
          <t>UPI</t>
        </is>
      </c>
      <c r="M42" s="5" t="inlineStr">
        <is>
          <t>Phone Order</t>
        </is>
      </c>
    </row>
    <row r="43">
      <c r="A43" s="3" t="inlineStr">
        <is>
          <t>ORD-1042</t>
        </is>
      </c>
      <c r="B43" s="4" t="n">
        <v>45749</v>
      </c>
      <c r="C43" s="5" t="inlineStr">
        <is>
          <t>East</t>
        </is>
      </c>
      <c r="D43" s="5" t="inlineStr">
        <is>
          <t>Bhubaneswar</t>
        </is>
      </c>
      <c r="E43" s="5" t="inlineStr">
        <is>
          <t>Suresh Babu</t>
        </is>
      </c>
      <c r="F43" s="5" t="inlineStr">
        <is>
          <t>Gel Pen Box</t>
        </is>
      </c>
      <c r="G43" s="5" t="inlineStr">
        <is>
          <t>Stationery</t>
        </is>
      </c>
      <c r="H43" s="6" t="n">
        <v>15</v>
      </c>
      <c r="I43" s="7" t="n">
        <v>180</v>
      </c>
      <c r="J43" s="8" t="n">
        <v>0</v>
      </c>
      <c r="K43" s="7">
        <f>ROUND(H43*I43*(1-J43),2)</f>
        <v/>
      </c>
      <c r="L43" s="5" t="inlineStr">
        <is>
          <t>Cash</t>
        </is>
      </c>
      <c r="M43" s="5" t="inlineStr">
        <is>
          <t>In-Store</t>
        </is>
      </c>
    </row>
    <row r="44">
      <c r="A44" s="3" t="inlineStr">
        <is>
          <t>ORD-1043</t>
        </is>
      </c>
      <c r="B44" s="4" t="n">
        <v>45752</v>
      </c>
      <c r="C44" s="5" t="inlineStr">
        <is>
          <t>North</t>
        </is>
      </c>
      <c r="D44" s="5" t="inlineStr">
        <is>
          <t>Chandigarh</t>
        </is>
      </c>
      <c r="E44" s="5" t="inlineStr">
        <is>
          <t>Suresh Babu</t>
        </is>
      </c>
      <c r="F44" s="5" t="inlineStr">
        <is>
          <t>Phone Stand</t>
        </is>
      </c>
      <c r="G44" s="5" t="inlineStr">
        <is>
          <t>Accessories</t>
        </is>
      </c>
      <c r="H44" s="6" t="n">
        <v>4</v>
      </c>
      <c r="I44" s="7" t="n">
        <v>350</v>
      </c>
      <c r="J44" s="8" t="n">
        <v>0</v>
      </c>
      <c r="K44" s="7">
        <f>ROUND(H44*I44*(1-J44),2)</f>
        <v/>
      </c>
      <c r="L44" s="5" t="inlineStr">
        <is>
          <t>Cash</t>
        </is>
      </c>
      <c r="M44" s="5" t="inlineStr">
        <is>
          <t>In-Store</t>
        </is>
      </c>
    </row>
    <row r="45">
      <c r="A45" s="3" t="inlineStr">
        <is>
          <t>ORD-1044</t>
        </is>
      </c>
      <c r="B45" s="4" t="n">
        <v>45754</v>
      </c>
      <c r="C45" s="5" t="inlineStr">
        <is>
          <t>South</t>
        </is>
      </c>
      <c r="D45" s="5" t="inlineStr">
        <is>
          <t>Bengaluru</t>
        </is>
      </c>
      <c r="E45" s="5" t="inlineStr">
        <is>
          <t>Karthik Raja</t>
        </is>
      </c>
      <c r="F45" s="5" t="inlineStr">
        <is>
          <t>Bookshelf</t>
        </is>
      </c>
      <c r="G45" s="5" t="inlineStr">
        <is>
          <t>Furniture</t>
        </is>
      </c>
      <c r="H45" s="6" t="n">
        <v>2</v>
      </c>
      <c r="I45" s="7" t="n">
        <v>4800</v>
      </c>
      <c r="J45" s="8" t="n">
        <v>0</v>
      </c>
      <c r="K45" s="7">
        <f>ROUND(H45*I45*(1-J45),2)</f>
        <v/>
      </c>
      <c r="L45" s="5" t="inlineStr">
        <is>
          <t>UPI</t>
        </is>
      </c>
      <c r="M45" s="5" t="inlineStr">
        <is>
          <t>Online</t>
        </is>
      </c>
    </row>
    <row r="46">
      <c r="A46" s="3" t="inlineStr">
        <is>
          <t>ORD-1045</t>
        </is>
      </c>
      <c r="B46" s="4" t="n">
        <v>45755</v>
      </c>
      <c r="C46" s="5" t="inlineStr">
        <is>
          <t>Central</t>
        </is>
      </c>
      <c r="D46" s="5" t="inlineStr">
        <is>
          <t>Nagpur</t>
        </is>
      </c>
      <c r="E46" s="5" t="inlineStr">
        <is>
          <t>Suresh Babu</t>
        </is>
      </c>
      <c r="F46" s="5" t="inlineStr">
        <is>
          <t>Headphones</t>
        </is>
      </c>
      <c r="G46" s="5" t="inlineStr">
        <is>
          <t>Electronics</t>
        </is>
      </c>
      <c r="H46" s="6" t="n">
        <v>2</v>
      </c>
      <c r="I46" s="7" t="n">
        <v>1800</v>
      </c>
      <c r="J46" s="8" t="n">
        <v>0.1</v>
      </c>
      <c r="K46" s="7">
        <f>ROUND(H46*I46*(1-J46),2)</f>
        <v/>
      </c>
      <c r="L46" s="5" t="inlineStr">
        <is>
          <t>Net Banking</t>
        </is>
      </c>
      <c r="M46" s="5" t="inlineStr">
        <is>
          <t>In-Store</t>
        </is>
      </c>
    </row>
    <row r="47">
      <c r="A47" s="3" t="inlineStr">
        <is>
          <t>ORD-1046</t>
        </is>
      </c>
      <c r="B47" s="4" t="n">
        <v>45756</v>
      </c>
      <c r="C47" s="5" t="inlineStr">
        <is>
          <t>North</t>
        </is>
      </c>
      <c r="D47" s="5" t="inlineStr">
        <is>
          <t>Jaipur</t>
        </is>
      </c>
      <c r="E47" s="5" t="inlineStr">
        <is>
          <t>Meena Iyer</t>
        </is>
      </c>
      <c r="F47" s="5" t="inlineStr">
        <is>
          <t>Office Chair</t>
        </is>
      </c>
      <c r="G47" s="5" t="inlineStr">
        <is>
          <t>Furniture</t>
        </is>
      </c>
      <c r="H47" s="6" t="n">
        <v>3</v>
      </c>
      <c r="I47" s="7" t="n">
        <v>5500</v>
      </c>
      <c r="J47" s="8" t="n">
        <v>0.05</v>
      </c>
      <c r="K47" s="7">
        <f>ROUND(H47*I47*(1-J47),2)</f>
        <v/>
      </c>
      <c r="L47" s="5" t="inlineStr">
        <is>
          <t>Net Banking</t>
        </is>
      </c>
      <c r="M47" s="5" t="inlineStr">
        <is>
          <t>Online</t>
        </is>
      </c>
    </row>
    <row r="48">
      <c r="A48" s="3" t="inlineStr">
        <is>
          <t>ORD-1047</t>
        </is>
      </c>
      <c r="B48" s="4" t="n">
        <v>45758</v>
      </c>
      <c r="C48" s="5" t="inlineStr">
        <is>
          <t>South</t>
        </is>
      </c>
      <c r="D48" s="5" t="inlineStr">
        <is>
          <t>Hyderabad</t>
        </is>
      </c>
      <c r="E48" s="5" t="inlineStr">
        <is>
          <t>Lakshmi Priya</t>
        </is>
      </c>
      <c r="F48" s="5" t="inlineStr">
        <is>
          <t>Notebook Pack</t>
        </is>
      </c>
      <c r="G48" s="5" t="inlineStr">
        <is>
          <t>Stationery</t>
        </is>
      </c>
      <c r="H48" s="6" t="n">
        <v>6</v>
      </c>
      <c r="I48" s="7" t="n">
        <v>250</v>
      </c>
      <c r="J48" s="8" t="n">
        <v>0</v>
      </c>
      <c r="K48" s="7">
        <f>ROUND(H48*I48*(1-J48),2)</f>
        <v/>
      </c>
      <c r="L48" s="5" t="inlineStr">
        <is>
          <t>Net Banking</t>
        </is>
      </c>
      <c r="M48" s="5" t="inlineStr">
        <is>
          <t>Online</t>
        </is>
      </c>
    </row>
    <row r="49">
      <c r="A49" s="3" t="inlineStr">
        <is>
          <t>ORD-1048</t>
        </is>
      </c>
      <c r="B49" s="4" t="n">
        <v>45761</v>
      </c>
      <c r="C49" s="5" t="inlineStr">
        <is>
          <t>East</t>
        </is>
      </c>
      <c r="D49" s="5" t="inlineStr">
        <is>
          <t>Kolkata</t>
        </is>
      </c>
      <c r="E49" s="5" t="inlineStr">
        <is>
          <t>Suresh Babu</t>
        </is>
      </c>
      <c r="F49" s="5" t="inlineStr">
        <is>
          <t>Bluetooth Speaker</t>
        </is>
      </c>
      <c r="G49" s="5" t="inlineStr">
        <is>
          <t>Electronics</t>
        </is>
      </c>
      <c r="H49" s="6" t="n">
        <v>5</v>
      </c>
      <c r="I49" s="7" t="n">
        <v>2200</v>
      </c>
      <c r="J49" s="8" t="n">
        <v>0</v>
      </c>
      <c r="K49" s="7">
        <f>ROUND(H49*I49*(1-J49),2)</f>
        <v/>
      </c>
      <c r="L49" s="5" t="inlineStr">
        <is>
          <t>Credit Card</t>
        </is>
      </c>
      <c r="M49" s="5" t="inlineStr">
        <is>
          <t>In-Store</t>
        </is>
      </c>
    </row>
    <row r="50">
      <c r="A50" s="3" t="inlineStr">
        <is>
          <t>ORD-1049</t>
        </is>
      </c>
      <c r="B50" s="4" t="n">
        <v>45763</v>
      </c>
      <c r="C50" s="5" t="inlineStr">
        <is>
          <t>East</t>
        </is>
      </c>
      <c r="D50" s="5" t="inlineStr">
        <is>
          <t>Patna</t>
        </is>
      </c>
      <c r="E50" s="5" t="inlineStr">
        <is>
          <t>Suresh Babu</t>
        </is>
      </c>
      <c r="F50" s="5" t="inlineStr">
        <is>
          <t>Office Chair</t>
        </is>
      </c>
      <c r="G50" s="5" t="inlineStr">
        <is>
          <t>Furniture</t>
        </is>
      </c>
      <c r="H50" s="6" t="n">
        <v>4</v>
      </c>
      <c r="I50" s="7" t="n">
        <v>5500</v>
      </c>
      <c r="J50" s="8" t="n">
        <v>0</v>
      </c>
      <c r="K50" s="7">
        <f>ROUND(H50*I50*(1-J50),2)</f>
        <v/>
      </c>
      <c r="L50" s="5" t="inlineStr">
        <is>
          <t>Debit Card</t>
        </is>
      </c>
      <c r="M50" s="5" t="inlineStr">
        <is>
          <t>In-Store</t>
        </is>
      </c>
    </row>
    <row r="51">
      <c r="A51" s="3" t="inlineStr">
        <is>
          <t>ORD-1050</t>
        </is>
      </c>
      <c r="B51" s="4" t="n">
        <v>45764</v>
      </c>
      <c r="C51" s="5" t="inlineStr">
        <is>
          <t>West</t>
        </is>
      </c>
      <c r="D51" s="5" t="inlineStr">
        <is>
          <t>Mumbai</t>
        </is>
      </c>
      <c r="E51" s="5" t="inlineStr">
        <is>
          <t>Divya Nair</t>
        </is>
      </c>
      <c r="F51" s="5" t="inlineStr">
        <is>
          <t>Headphones</t>
        </is>
      </c>
      <c r="G51" s="5" t="inlineStr">
        <is>
          <t>Electronics</t>
        </is>
      </c>
      <c r="H51" s="6" t="n">
        <v>10</v>
      </c>
      <c r="I51" s="7" t="n">
        <v>1800</v>
      </c>
      <c r="J51" s="8" t="n">
        <v>0.1</v>
      </c>
      <c r="K51" s="7">
        <f>ROUND(H51*I51*(1-J51),2)</f>
        <v/>
      </c>
      <c r="L51" s="5" t="inlineStr">
        <is>
          <t>Debit Card</t>
        </is>
      </c>
      <c r="M51" s="5" t="inlineStr">
        <is>
          <t>Online</t>
        </is>
      </c>
    </row>
    <row r="52">
      <c r="A52" s="3" t="inlineStr">
        <is>
          <t>ORD-1051</t>
        </is>
      </c>
      <c r="B52" s="4" t="n">
        <v>45765</v>
      </c>
      <c r="C52" s="5" t="inlineStr">
        <is>
          <t>North</t>
        </is>
      </c>
      <c r="D52" s="5" t="inlineStr">
        <is>
          <t>Delhi</t>
        </is>
      </c>
      <c r="E52" s="5" t="inlineStr">
        <is>
          <t>Lakshmi Priya</t>
        </is>
      </c>
      <c r="F52" s="5" t="inlineStr">
        <is>
          <t>Desk Organizer</t>
        </is>
      </c>
      <c r="G52" s="5" t="inlineStr">
        <is>
          <t>Stationery</t>
        </is>
      </c>
      <c r="H52" s="6" t="n">
        <v>2</v>
      </c>
      <c r="I52" s="7" t="n">
        <v>420</v>
      </c>
      <c r="J52" s="8" t="n">
        <v>0.05</v>
      </c>
      <c r="K52" s="7">
        <f>ROUND(H52*I52*(1-J52),2)</f>
        <v/>
      </c>
      <c r="L52" s="5" t="inlineStr">
        <is>
          <t>Credit Card</t>
        </is>
      </c>
      <c r="M52" s="5" t="inlineStr">
        <is>
          <t>Online</t>
        </is>
      </c>
    </row>
    <row r="53">
      <c r="A53" s="3" t="inlineStr">
        <is>
          <t>ORD-1052</t>
        </is>
      </c>
      <c r="B53" s="4" t="n">
        <v>45766</v>
      </c>
      <c r="C53" s="5" t="inlineStr">
        <is>
          <t>Central</t>
        </is>
      </c>
      <c r="D53" s="5" t="inlineStr">
        <is>
          <t>Nagpur</t>
        </is>
      </c>
      <c r="E53" s="5" t="inlineStr">
        <is>
          <t>Suresh Babu</t>
        </is>
      </c>
      <c r="F53" s="5" t="inlineStr">
        <is>
          <t>Desk Organizer</t>
        </is>
      </c>
      <c r="G53" s="5" t="inlineStr">
        <is>
          <t>Stationery</t>
        </is>
      </c>
      <c r="H53" s="6" t="n">
        <v>11</v>
      </c>
      <c r="I53" s="7" t="n">
        <v>420</v>
      </c>
      <c r="J53" s="8" t="n">
        <v>0.1</v>
      </c>
      <c r="K53" s="7">
        <f>ROUND(H53*I53*(1-J53),2)</f>
        <v/>
      </c>
      <c r="L53" s="5" t="inlineStr">
        <is>
          <t>Debit Card</t>
        </is>
      </c>
      <c r="M53" s="5" t="inlineStr">
        <is>
          <t>Phone Order</t>
        </is>
      </c>
    </row>
    <row r="54">
      <c r="A54" s="3" t="inlineStr">
        <is>
          <t>ORD-1053</t>
        </is>
      </c>
      <c r="B54" s="4" t="n">
        <v>45767</v>
      </c>
      <c r="C54" s="5" t="inlineStr">
        <is>
          <t>East</t>
        </is>
      </c>
      <c r="D54" s="5" t="inlineStr">
        <is>
          <t>Kolkata</t>
        </is>
      </c>
      <c r="E54" s="5" t="inlineStr">
        <is>
          <t>Karthik Raja</t>
        </is>
      </c>
      <c r="F54" s="5" t="inlineStr">
        <is>
          <t>Keyboard</t>
        </is>
      </c>
      <c r="G54" s="5" t="inlineStr">
        <is>
          <t>Electronics</t>
        </is>
      </c>
      <c r="H54" s="6" t="n">
        <v>8</v>
      </c>
      <c r="I54" s="7" t="n">
        <v>1200</v>
      </c>
      <c r="J54" s="8" t="n">
        <v>0.15</v>
      </c>
      <c r="K54" s="7">
        <f>ROUND(H54*I54*(1-J54),2)</f>
        <v/>
      </c>
      <c r="L54" s="5" t="inlineStr">
        <is>
          <t>Debit Card</t>
        </is>
      </c>
      <c r="M54" s="5" t="inlineStr">
        <is>
          <t>Phone Order</t>
        </is>
      </c>
    </row>
    <row r="55">
      <c r="A55" s="3" t="inlineStr">
        <is>
          <t>ORD-1054</t>
        </is>
      </c>
      <c r="B55" s="4" t="n">
        <v>45769</v>
      </c>
      <c r="C55" s="5" t="inlineStr">
        <is>
          <t>West</t>
        </is>
      </c>
      <c r="D55" s="5" t="inlineStr">
        <is>
          <t>Pune</t>
        </is>
      </c>
      <c r="E55" s="5" t="inlineStr">
        <is>
          <t>Arun Kumar</t>
        </is>
      </c>
      <c r="F55" s="5" t="inlineStr">
        <is>
          <t>Phone Stand</t>
        </is>
      </c>
      <c r="G55" s="5" t="inlineStr">
        <is>
          <t>Accessories</t>
        </is>
      </c>
      <c r="H55" s="6" t="n">
        <v>23</v>
      </c>
      <c r="I55" s="7" t="n">
        <v>350</v>
      </c>
      <c r="J55" s="8" t="n">
        <v>0.15</v>
      </c>
      <c r="K55" s="7">
        <f>ROUND(H55*I55*(1-J55),2)</f>
        <v/>
      </c>
      <c r="L55" s="5" t="inlineStr">
        <is>
          <t>UPI</t>
        </is>
      </c>
      <c r="M55" s="5" t="inlineStr">
        <is>
          <t>In-Store</t>
        </is>
      </c>
    </row>
    <row r="56">
      <c r="A56" s="3" t="inlineStr">
        <is>
          <t>ORD-1055</t>
        </is>
      </c>
      <c r="B56" s="4" t="n">
        <v>45771</v>
      </c>
      <c r="C56" s="5" t="inlineStr">
        <is>
          <t>South</t>
        </is>
      </c>
      <c r="D56" s="5" t="inlineStr">
        <is>
          <t>Hyderabad</t>
        </is>
      </c>
      <c r="E56" s="5" t="inlineStr">
        <is>
          <t>Meena Iyer</t>
        </is>
      </c>
      <c r="F56" s="5" t="inlineStr">
        <is>
          <t>Wireless Mouse</t>
        </is>
      </c>
      <c r="G56" s="5" t="inlineStr">
        <is>
          <t>Electronics</t>
        </is>
      </c>
      <c r="H56" s="6" t="n">
        <v>5</v>
      </c>
      <c r="I56" s="7" t="n">
        <v>650</v>
      </c>
      <c r="J56" s="8" t="n">
        <v>0.05</v>
      </c>
      <c r="K56" s="7">
        <f>ROUND(H56*I56*(1-J56),2)</f>
        <v/>
      </c>
      <c r="L56" s="5" t="inlineStr">
        <is>
          <t>Net Banking</t>
        </is>
      </c>
      <c r="M56" s="5" t="inlineStr">
        <is>
          <t>Phone Order</t>
        </is>
      </c>
    </row>
    <row r="57">
      <c r="A57" s="3" t="inlineStr">
        <is>
          <t>ORD-1056</t>
        </is>
      </c>
      <c r="B57" s="4" t="n">
        <v>45772</v>
      </c>
      <c r="C57" s="5" t="inlineStr">
        <is>
          <t>West</t>
        </is>
      </c>
      <c r="D57" s="5" t="inlineStr">
        <is>
          <t>Ahmedabad</t>
        </is>
      </c>
      <c r="E57" s="5" t="inlineStr">
        <is>
          <t>Meena Iyer</t>
        </is>
      </c>
      <c r="F57" s="5" t="inlineStr">
        <is>
          <t>Phone Stand</t>
        </is>
      </c>
      <c r="G57" s="5" t="inlineStr">
        <is>
          <t>Accessories</t>
        </is>
      </c>
      <c r="H57" s="6" t="n">
        <v>11</v>
      </c>
      <c r="I57" s="7" t="n">
        <v>350</v>
      </c>
      <c r="J57" s="8" t="n">
        <v>0</v>
      </c>
      <c r="K57" s="7">
        <f>ROUND(H57*I57*(1-J57),2)</f>
        <v/>
      </c>
      <c r="L57" s="5" t="inlineStr">
        <is>
          <t>Net Banking</t>
        </is>
      </c>
      <c r="M57" s="5" t="inlineStr">
        <is>
          <t>Phone Order</t>
        </is>
      </c>
    </row>
    <row r="58">
      <c r="A58" s="3" t="inlineStr">
        <is>
          <t>ORD-1057</t>
        </is>
      </c>
      <c r="B58" s="4" t="n">
        <v>45782</v>
      </c>
      <c r="C58" s="5" t="inlineStr">
        <is>
          <t>Central</t>
        </is>
      </c>
      <c r="D58" s="5" t="inlineStr">
        <is>
          <t>Bhopal</t>
        </is>
      </c>
      <c r="E58" s="5" t="inlineStr">
        <is>
          <t>Lakshmi Priya</t>
        </is>
      </c>
      <c r="F58" s="5" t="inlineStr">
        <is>
          <t>Study Table</t>
        </is>
      </c>
      <c r="G58" s="5" t="inlineStr">
        <is>
          <t>Furniture</t>
        </is>
      </c>
      <c r="H58" s="6" t="n">
        <v>3</v>
      </c>
      <c r="I58" s="7" t="n">
        <v>7200</v>
      </c>
      <c r="J58" s="8" t="n">
        <v>0</v>
      </c>
      <c r="K58" s="7">
        <f>ROUND(H58*I58*(1-J58),2)</f>
        <v/>
      </c>
      <c r="L58" s="5" t="inlineStr">
        <is>
          <t>UPI</t>
        </is>
      </c>
      <c r="M58" s="5" t="inlineStr">
        <is>
          <t>Phone Order</t>
        </is>
      </c>
    </row>
    <row r="59">
      <c r="A59" s="3" t="inlineStr">
        <is>
          <t>ORD-1058</t>
        </is>
      </c>
      <c r="B59" s="4" t="n">
        <v>45784</v>
      </c>
      <c r="C59" s="5" t="inlineStr">
        <is>
          <t>West</t>
        </is>
      </c>
      <c r="D59" s="5" t="inlineStr">
        <is>
          <t>Pune</t>
        </is>
      </c>
      <c r="E59" s="5" t="inlineStr">
        <is>
          <t>Meena Iyer</t>
        </is>
      </c>
      <c r="F59" s="5" t="inlineStr">
        <is>
          <t>Study Table</t>
        </is>
      </c>
      <c r="G59" s="5" t="inlineStr">
        <is>
          <t>Furniture</t>
        </is>
      </c>
      <c r="H59" s="6" t="n">
        <v>3</v>
      </c>
      <c r="I59" s="7" t="n">
        <v>7200</v>
      </c>
      <c r="J59" s="8" t="n">
        <v>0</v>
      </c>
      <c r="K59" s="7">
        <f>ROUND(H59*I59*(1-J59),2)</f>
        <v/>
      </c>
      <c r="L59" s="5" t="inlineStr">
        <is>
          <t>Credit Card</t>
        </is>
      </c>
      <c r="M59" s="5" t="inlineStr">
        <is>
          <t>Phone Order</t>
        </is>
      </c>
    </row>
    <row r="60">
      <c r="A60" s="3" t="inlineStr">
        <is>
          <t>ORD-1059</t>
        </is>
      </c>
      <c r="B60" s="4" t="n">
        <v>45789</v>
      </c>
      <c r="C60" s="5" t="inlineStr">
        <is>
          <t>East</t>
        </is>
      </c>
      <c r="D60" s="5" t="inlineStr">
        <is>
          <t>Patna</t>
        </is>
      </c>
      <c r="E60" s="5" t="inlineStr">
        <is>
          <t>Lakshmi Priya</t>
        </is>
      </c>
      <c r="F60" s="5" t="inlineStr">
        <is>
          <t>Wireless Mouse</t>
        </is>
      </c>
      <c r="G60" s="5" t="inlineStr">
        <is>
          <t>Electronics</t>
        </is>
      </c>
      <c r="H60" s="6" t="n">
        <v>7</v>
      </c>
      <c r="I60" s="7" t="n">
        <v>650</v>
      </c>
      <c r="J60" s="8" t="n">
        <v>0</v>
      </c>
      <c r="K60" s="7">
        <f>ROUND(H60*I60*(1-J60),2)</f>
        <v/>
      </c>
      <c r="L60" s="5" t="inlineStr">
        <is>
          <t>UPI</t>
        </is>
      </c>
      <c r="M60" s="5" t="inlineStr">
        <is>
          <t>In-Store</t>
        </is>
      </c>
    </row>
    <row r="61">
      <c r="A61" s="3" t="inlineStr">
        <is>
          <t>ORD-1060</t>
        </is>
      </c>
      <c r="B61" s="4" t="n">
        <v>45791</v>
      </c>
      <c r="C61" s="5" t="inlineStr">
        <is>
          <t>South</t>
        </is>
      </c>
      <c r="D61" s="5" t="inlineStr">
        <is>
          <t>Chennai</t>
        </is>
      </c>
      <c r="E61" s="5" t="inlineStr">
        <is>
          <t>Karthik Raja</t>
        </is>
      </c>
      <c r="F61" s="5" t="inlineStr">
        <is>
          <t>Desk Organizer</t>
        </is>
      </c>
      <c r="G61" s="5" t="inlineStr">
        <is>
          <t>Stationery</t>
        </is>
      </c>
      <c r="H61" s="6" t="n">
        <v>2</v>
      </c>
      <c r="I61" s="7" t="n">
        <v>420</v>
      </c>
      <c r="J61" s="8" t="n">
        <v>0.1</v>
      </c>
      <c r="K61" s="7">
        <f>ROUND(H61*I61*(1-J61),2)</f>
        <v/>
      </c>
      <c r="L61" s="5" t="inlineStr">
        <is>
          <t>UPI</t>
        </is>
      </c>
      <c r="M61" s="5" t="inlineStr">
        <is>
          <t>Phone Order</t>
        </is>
      </c>
    </row>
    <row r="62">
      <c r="A62" s="3" t="inlineStr">
        <is>
          <t>ORD-1061</t>
        </is>
      </c>
      <c r="B62" s="4" t="n">
        <v>45791</v>
      </c>
      <c r="C62" s="5" t="inlineStr">
        <is>
          <t>Central</t>
        </is>
      </c>
      <c r="D62" s="5" t="inlineStr">
        <is>
          <t>Nagpur</t>
        </is>
      </c>
      <c r="E62" s="5" t="inlineStr">
        <is>
          <t>Meena Iyer</t>
        </is>
      </c>
      <c r="F62" s="5" t="inlineStr">
        <is>
          <t>Bluetooth Speaker</t>
        </is>
      </c>
      <c r="G62" s="5" t="inlineStr">
        <is>
          <t>Electronics</t>
        </is>
      </c>
      <c r="H62" s="6" t="n">
        <v>8</v>
      </c>
      <c r="I62" s="7" t="n">
        <v>2200</v>
      </c>
      <c r="J62" s="8" t="n">
        <v>0.05</v>
      </c>
      <c r="K62" s="7">
        <f>ROUND(H62*I62*(1-J62),2)</f>
        <v/>
      </c>
      <c r="L62" s="5" t="inlineStr">
        <is>
          <t>Credit Card</t>
        </is>
      </c>
      <c r="M62" s="5" t="inlineStr">
        <is>
          <t>In-Store</t>
        </is>
      </c>
    </row>
    <row r="63">
      <c r="A63" s="3" t="inlineStr">
        <is>
          <t>ORD-1062</t>
        </is>
      </c>
      <c r="B63" s="4" t="n">
        <v>45794</v>
      </c>
      <c r="C63" s="5" t="inlineStr">
        <is>
          <t>Central</t>
        </is>
      </c>
      <c r="D63" s="5" t="inlineStr">
        <is>
          <t>Bhopal</t>
        </is>
      </c>
      <c r="E63" s="5" t="inlineStr">
        <is>
          <t>Arun Kumar</t>
        </is>
      </c>
      <c r="F63" s="5" t="inlineStr">
        <is>
          <t>Office Chair</t>
        </is>
      </c>
      <c r="G63" s="5" t="inlineStr">
        <is>
          <t>Furniture</t>
        </is>
      </c>
      <c r="H63" s="6" t="n">
        <v>1</v>
      </c>
      <c r="I63" s="7" t="n">
        <v>5500</v>
      </c>
      <c r="J63" s="8" t="n">
        <v>0.1</v>
      </c>
      <c r="K63" s="7">
        <f>ROUND(H63*I63*(1-J63),2)</f>
        <v/>
      </c>
      <c r="L63" s="5" t="inlineStr">
        <is>
          <t>Debit Card</t>
        </is>
      </c>
      <c r="M63" s="5" t="inlineStr">
        <is>
          <t>Online</t>
        </is>
      </c>
    </row>
    <row r="64">
      <c r="A64" s="3" t="inlineStr">
        <is>
          <t>ORD-1063</t>
        </is>
      </c>
      <c r="B64" s="4" t="n">
        <v>45794</v>
      </c>
      <c r="C64" s="5" t="inlineStr">
        <is>
          <t>West</t>
        </is>
      </c>
      <c r="D64" s="5" t="inlineStr">
        <is>
          <t>Mumbai</t>
        </is>
      </c>
      <c r="E64" s="5" t="inlineStr">
        <is>
          <t>Meena Iyer</t>
        </is>
      </c>
      <c r="F64" s="5" t="inlineStr">
        <is>
          <t>Bluetooth Speaker</t>
        </is>
      </c>
      <c r="G64" s="5" t="inlineStr">
        <is>
          <t>Electronics</t>
        </is>
      </c>
      <c r="H64" s="6" t="n">
        <v>3</v>
      </c>
      <c r="I64" s="7" t="n">
        <v>2200</v>
      </c>
      <c r="J64" s="8" t="n">
        <v>0</v>
      </c>
      <c r="K64" s="7">
        <f>ROUND(H64*I64*(1-J64),2)</f>
        <v/>
      </c>
      <c r="L64" s="5" t="inlineStr">
        <is>
          <t>Debit Card</t>
        </is>
      </c>
      <c r="M64" s="5" t="inlineStr">
        <is>
          <t>Phone Order</t>
        </is>
      </c>
    </row>
    <row r="65">
      <c r="A65" s="3" t="inlineStr">
        <is>
          <t>ORD-1064</t>
        </is>
      </c>
      <c r="B65" s="4" t="n">
        <v>45795</v>
      </c>
      <c r="C65" s="5" t="inlineStr">
        <is>
          <t>East</t>
        </is>
      </c>
      <c r="D65" s="5" t="inlineStr">
        <is>
          <t>Kolkata</t>
        </is>
      </c>
      <c r="E65" s="5" t="inlineStr">
        <is>
          <t>Karthik Raja</t>
        </is>
      </c>
      <c r="F65" s="5" t="inlineStr">
        <is>
          <t>Gel Pen Box</t>
        </is>
      </c>
      <c r="G65" s="5" t="inlineStr">
        <is>
          <t>Stationery</t>
        </is>
      </c>
      <c r="H65" s="6" t="n">
        <v>18</v>
      </c>
      <c r="I65" s="7" t="n">
        <v>180</v>
      </c>
      <c r="J65" s="8" t="n">
        <v>0.05</v>
      </c>
      <c r="K65" s="7">
        <f>ROUND(H65*I65*(1-J65),2)</f>
        <v/>
      </c>
      <c r="L65" s="5" t="inlineStr">
        <is>
          <t>Debit Card</t>
        </is>
      </c>
      <c r="M65" s="5" t="inlineStr">
        <is>
          <t>Online</t>
        </is>
      </c>
    </row>
    <row r="66">
      <c r="A66" s="3" t="inlineStr">
        <is>
          <t>ORD-1065</t>
        </is>
      </c>
      <c r="B66" s="4" t="n">
        <v>45796</v>
      </c>
      <c r="C66" s="5" t="inlineStr">
        <is>
          <t>North</t>
        </is>
      </c>
      <c r="D66" s="5" t="inlineStr">
        <is>
          <t>Jaipur</t>
        </is>
      </c>
      <c r="E66" s="5" t="inlineStr">
        <is>
          <t>Meena Iyer</t>
        </is>
      </c>
      <c r="F66" s="5" t="inlineStr">
        <is>
          <t>Gel Pen Box</t>
        </is>
      </c>
      <c r="G66" s="5" t="inlineStr">
        <is>
          <t>Stationery</t>
        </is>
      </c>
      <c r="H66" s="6" t="n">
        <v>47</v>
      </c>
      <c r="I66" s="7" t="n">
        <v>180</v>
      </c>
      <c r="J66" s="8" t="n">
        <v>0.1</v>
      </c>
      <c r="K66" s="7">
        <f>ROUND(H66*I66*(1-J66),2)</f>
        <v/>
      </c>
      <c r="L66" s="5" t="inlineStr">
        <is>
          <t>Net Banking</t>
        </is>
      </c>
      <c r="M66" s="5" t="inlineStr">
        <is>
          <t>Phone Order</t>
        </is>
      </c>
    </row>
    <row r="67">
      <c r="A67" s="3" t="inlineStr">
        <is>
          <t>ORD-1066</t>
        </is>
      </c>
      <c r="B67" s="4" t="n">
        <v>45805</v>
      </c>
      <c r="C67" s="5" t="inlineStr">
        <is>
          <t>North</t>
        </is>
      </c>
      <c r="D67" s="5" t="inlineStr">
        <is>
          <t>Delhi</t>
        </is>
      </c>
      <c r="E67" s="5" t="inlineStr">
        <is>
          <t>Suresh Babu</t>
        </is>
      </c>
      <c r="F67" s="5" t="inlineStr">
        <is>
          <t>Office Chair</t>
        </is>
      </c>
      <c r="G67" s="5" t="inlineStr">
        <is>
          <t>Furniture</t>
        </is>
      </c>
      <c r="H67" s="6" t="n">
        <v>3</v>
      </c>
      <c r="I67" s="7" t="n">
        <v>5500</v>
      </c>
      <c r="J67" s="8" t="n">
        <v>0.1</v>
      </c>
      <c r="K67" s="7">
        <f>ROUND(H67*I67*(1-J67),2)</f>
        <v/>
      </c>
      <c r="L67" s="5" t="inlineStr">
        <is>
          <t>Credit Card</t>
        </is>
      </c>
      <c r="M67" s="5" t="inlineStr">
        <is>
          <t>In-Store</t>
        </is>
      </c>
    </row>
    <row r="68">
      <c r="A68" s="3" t="inlineStr">
        <is>
          <t>ORD-1067</t>
        </is>
      </c>
      <c r="B68" s="4" t="n">
        <v>45808</v>
      </c>
      <c r="C68" s="5" t="inlineStr">
        <is>
          <t>Central</t>
        </is>
      </c>
      <c r="D68" s="5" t="inlineStr">
        <is>
          <t>Nagpur</t>
        </is>
      </c>
      <c r="E68" s="5" t="inlineStr">
        <is>
          <t>Suresh Babu</t>
        </is>
      </c>
      <c r="F68" s="5" t="inlineStr">
        <is>
          <t>Bluetooth Speaker</t>
        </is>
      </c>
      <c r="G68" s="5" t="inlineStr">
        <is>
          <t>Electronics</t>
        </is>
      </c>
      <c r="H68" s="6" t="n">
        <v>8</v>
      </c>
      <c r="I68" s="7" t="n">
        <v>2200</v>
      </c>
      <c r="J68" s="8" t="n">
        <v>0.05</v>
      </c>
      <c r="K68" s="7">
        <f>ROUND(H68*I68*(1-J68),2)</f>
        <v/>
      </c>
      <c r="L68" s="5" t="inlineStr">
        <is>
          <t>Debit Card</t>
        </is>
      </c>
      <c r="M68" s="5" t="inlineStr">
        <is>
          <t>Phone Order</t>
        </is>
      </c>
    </row>
    <row r="69">
      <c r="A69" s="3" t="inlineStr">
        <is>
          <t>ORD-1068</t>
        </is>
      </c>
      <c r="B69" s="4" t="n">
        <v>45809</v>
      </c>
      <c r="C69" s="5" t="inlineStr">
        <is>
          <t>South</t>
        </is>
      </c>
      <c r="D69" s="5" t="inlineStr">
        <is>
          <t>Bengaluru</t>
        </is>
      </c>
      <c r="E69" s="5" t="inlineStr">
        <is>
          <t>Suresh Babu</t>
        </is>
      </c>
      <c r="F69" s="5" t="inlineStr">
        <is>
          <t>Desk Organizer</t>
        </is>
      </c>
      <c r="G69" s="5" t="inlineStr">
        <is>
          <t>Stationery</t>
        </is>
      </c>
      <c r="H69" s="6" t="n">
        <v>9</v>
      </c>
      <c r="I69" s="7" t="n">
        <v>420</v>
      </c>
      <c r="J69" s="8" t="n">
        <v>0</v>
      </c>
      <c r="K69" s="7">
        <f>ROUND(H69*I69*(1-J69),2)</f>
        <v/>
      </c>
      <c r="L69" s="5" t="inlineStr">
        <is>
          <t>UPI</t>
        </is>
      </c>
      <c r="M69" s="5" t="inlineStr">
        <is>
          <t>In-Store</t>
        </is>
      </c>
    </row>
    <row r="70">
      <c r="A70" s="3" t="inlineStr">
        <is>
          <t>ORD-1069</t>
        </is>
      </c>
      <c r="B70" s="4" t="n">
        <v>45810</v>
      </c>
      <c r="C70" s="5" t="inlineStr">
        <is>
          <t>West</t>
        </is>
      </c>
      <c r="D70" s="5" t="inlineStr">
        <is>
          <t>Mumbai</t>
        </is>
      </c>
      <c r="E70" s="5" t="inlineStr">
        <is>
          <t>Lakshmi Priya</t>
        </is>
      </c>
      <c r="F70" s="5" t="inlineStr">
        <is>
          <t>Office Chair</t>
        </is>
      </c>
      <c r="G70" s="5" t="inlineStr">
        <is>
          <t>Furniture</t>
        </is>
      </c>
      <c r="H70" s="6" t="n">
        <v>2</v>
      </c>
      <c r="I70" s="7" t="n">
        <v>5500</v>
      </c>
      <c r="J70" s="8" t="n">
        <v>0</v>
      </c>
      <c r="K70" s="7">
        <f>ROUND(H70*I70*(1-J70),2)</f>
        <v/>
      </c>
      <c r="L70" s="5" t="inlineStr">
        <is>
          <t>Credit Card</t>
        </is>
      </c>
      <c r="M70" s="5" t="inlineStr">
        <is>
          <t>Phone Order</t>
        </is>
      </c>
    </row>
    <row r="71">
      <c r="A71" s="3" t="inlineStr">
        <is>
          <t>ORD-1070</t>
        </is>
      </c>
      <c r="B71" s="4" t="n">
        <v>45815</v>
      </c>
      <c r="C71" s="5" t="inlineStr">
        <is>
          <t>West</t>
        </is>
      </c>
      <c r="D71" s="5" t="inlineStr">
        <is>
          <t>Ahmedabad</t>
        </is>
      </c>
      <c r="E71" s="5" t="inlineStr">
        <is>
          <t>Meena Iyer</t>
        </is>
      </c>
      <c r="F71" s="5" t="inlineStr">
        <is>
          <t>Phone Stand</t>
        </is>
      </c>
      <c r="G71" s="5" t="inlineStr">
        <is>
          <t>Accessories</t>
        </is>
      </c>
      <c r="H71" s="6" t="n">
        <v>6</v>
      </c>
      <c r="I71" s="7" t="n">
        <v>350</v>
      </c>
      <c r="J71" s="8" t="n">
        <v>0.05</v>
      </c>
      <c r="K71" s="7">
        <f>ROUND(H71*I71*(1-J71),2)</f>
        <v/>
      </c>
      <c r="L71" s="5" t="inlineStr">
        <is>
          <t>Net Banking</t>
        </is>
      </c>
      <c r="M71" s="5" t="inlineStr">
        <is>
          <t>Online</t>
        </is>
      </c>
    </row>
    <row r="72">
      <c r="A72" s="3" t="inlineStr">
        <is>
          <t>ORD-1071</t>
        </is>
      </c>
      <c r="B72" s="4" t="n">
        <v>45818</v>
      </c>
      <c r="C72" s="5" t="inlineStr">
        <is>
          <t>South</t>
        </is>
      </c>
      <c r="D72" s="5" t="inlineStr">
        <is>
          <t>Chennai</t>
        </is>
      </c>
      <c r="E72" s="5" t="inlineStr">
        <is>
          <t>Karthik Raja</t>
        </is>
      </c>
      <c r="F72" s="5" t="inlineStr">
        <is>
          <t>Phone Stand</t>
        </is>
      </c>
      <c r="G72" s="5" t="inlineStr">
        <is>
          <t>Accessories</t>
        </is>
      </c>
      <c r="H72" s="6" t="n">
        <v>16</v>
      </c>
      <c r="I72" s="7" t="n">
        <v>350</v>
      </c>
      <c r="J72" s="8" t="n">
        <v>0.1</v>
      </c>
      <c r="K72" s="7">
        <f>ROUND(H72*I72*(1-J72),2)</f>
        <v/>
      </c>
      <c r="L72" s="5" t="inlineStr">
        <is>
          <t>UPI</t>
        </is>
      </c>
      <c r="M72" s="5" t="inlineStr">
        <is>
          <t>Online</t>
        </is>
      </c>
    </row>
    <row r="73">
      <c r="A73" s="3" t="inlineStr">
        <is>
          <t>ORD-1072</t>
        </is>
      </c>
      <c r="B73" s="4" t="n">
        <v>45820</v>
      </c>
      <c r="C73" s="5" t="inlineStr">
        <is>
          <t>North</t>
        </is>
      </c>
      <c r="D73" s="5" t="inlineStr">
        <is>
          <t>Jaipur</t>
        </is>
      </c>
      <c r="E73" s="5" t="inlineStr">
        <is>
          <t>Arun Kumar</t>
        </is>
      </c>
      <c r="F73" s="5" t="inlineStr">
        <is>
          <t>Headphones</t>
        </is>
      </c>
      <c r="G73" s="5" t="inlineStr">
        <is>
          <t>Electronics</t>
        </is>
      </c>
      <c r="H73" s="6" t="n">
        <v>5</v>
      </c>
      <c r="I73" s="7" t="n">
        <v>1800</v>
      </c>
      <c r="J73" s="8" t="n">
        <v>0</v>
      </c>
      <c r="K73" s="7">
        <f>ROUND(H73*I73*(1-J73),2)</f>
        <v/>
      </c>
      <c r="L73" s="5" t="inlineStr">
        <is>
          <t>Credit Card</t>
        </is>
      </c>
      <c r="M73" s="5" t="inlineStr">
        <is>
          <t>In-Store</t>
        </is>
      </c>
    </row>
    <row r="74">
      <c r="A74" s="3" t="inlineStr">
        <is>
          <t>ORD-1073</t>
        </is>
      </c>
      <c r="B74" s="4" t="n">
        <v>45820</v>
      </c>
      <c r="C74" s="5" t="inlineStr">
        <is>
          <t>East</t>
        </is>
      </c>
      <c r="D74" s="5" t="inlineStr">
        <is>
          <t>Bhubaneswar</t>
        </is>
      </c>
      <c r="E74" s="5" t="inlineStr">
        <is>
          <t>Arun Kumar</t>
        </is>
      </c>
      <c r="F74" s="5" t="inlineStr">
        <is>
          <t>Keyboard</t>
        </is>
      </c>
      <c r="G74" s="5" t="inlineStr">
        <is>
          <t>Electronics</t>
        </is>
      </c>
      <c r="H74" s="6" t="n">
        <v>3</v>
      </c>
      <c r="I74" s="7" t="n">
        <v>1200</v>
      </c>
      <c r="J74" s="8" t="n">
        <v>0</v>
      </c>
      <c r="K74" s="7">
        <f>ROUND(H74*I74*(1-J74),2)</f>
        <v/>
      </c>
      <c r="L74" s="5" t="inlineStr">
        <is>
          <t>Net Banking</t>
        </is>
      </c>
      <c r="M74" s="5" t="inlineStr">
        <is>
          <t>Online</t>
        </is>
      </c>
    </row>
    <row r="75">
      <c r="A75" s="3" t="inlineStr">
        <is>
          <t>ORD-1074</t>
        </is>
      </c>
      <c r="B75" s="4" t="n">
        <v>45822</v>
      </c>
      <c r="C75" s="5" t="inlineStr">
        <is>
          <t>South</t>
        </is>
      </c>
      <c r="D75" s="5" t="inlineStr">
        <is>
          <t>Hyderabad</t>
        </is>
      </c>
      <c r="E75" s="5" t="inlineStr">
        <is>
          <t>Karthik Raja</t>
        </is>
      </c>
      <c r="F75" s="5" t="inlineStr">
        <is>
          <t>Wireless Mouse</t>
        </is>
      </c>
      <c r="G75" s="5" t="inlineStr">
        <is>
          <t>Electronics</t>
        </is>
      </c>
      <c r="H75" s="6" t="n">
        <v>8</v>
      </c>
      <c r="I75" s="7" t="n">
        <v>650</v>
      </c>
      <c r="J75" s="8" t="n">
        <v>0.15</v>
      </c>
      <c r="K75" s="7">
        <f>ROUND(H75*I75*(1-J75),2)</f>
        <v/>
      </c>
      <c r="L75" s="5" t="inlineStr">
        <is>
          <t>Debit Card</t>
        </is>
      </c>
      <c r="M75" s="5" t="inlineStr">
        <is>
          <t>Online</t>
        </is>
      </c>
    </row>
    <row r="76">
      <c r="A76" s="3" t="inlineStr">
        <is>
          <t>ORD-1075</t>
        </is>
      </c>
      <c r="B76" s="4" t="n">
        <v>45824</v>
      </c>
      <c r="C76" s="5" t="inlineStr">
        <is>
          <t>Central</t>
        </is>
      </c>
      <c r="D76" s="5" t="inlineStr">
        <is>
          <t>Indore</t>
        </is>
      </c>
      <c r="E76" s="5" t="inlineStr">
        <is>
          <t>Meena Iyer</t>
        </is>
      </c>
      <c r="F76" s="5" t="inlineStr">
        <is>
          <t>Bluetooth Speaker</t>
        </is>
      </c>
      <c r="G76" s="5" t="inlineStr">
        <is>
          <t>Electronics</t>
        </is>
      </c>
      <c r="H76" s="6" t="n">
        <v>2</v>
      </c>
      <c r="I76" s="7" t="n">
        <v>2200</v>
      </c>
      <c r="J76" s="8" t="n">
        <v>0.05</v>
      </c>
      <c r="K76" s="7">
        <f>ROUND(H76*I76*(1-J76),2)</f>
        <v/>
      </c>
      <c r="L76" s="5" t="inlineStr">
        <is>
          <t>Credit Card</t>
        </is>
      </c>
      <c r="M76" s="5" t="inlineStr">
        <is>
          <t>In-Store</t>
        </is>
      </c>
    </row>
    <row r="77">
      <c r="A77" s="3" t="inlineStr">
        <is>
          <t>ORD-1076</t>
        </is>
      </c>
      <c r="B77" s="4" t="n">
        <v>45825</v>
      </c>
      <c r="C77" s="5" t="inlineStr">
        <is>
          <t>West</t>
        </is>
      </c>
      <c r="D77" s="5" t="inlineStr">
        <is>
          <t>Pune</t>
        </is>
      </c>
      <c r="E77" s="5" t="inlineStr">
        <is>
          <t>Karthik Raja</t>
        </is>
      </c>
      <c r="F77" s="5" t="inlineStr">
        <is>
          <t>Bluetooth Speaker</t>
        </is>
      </c>
      <c r="G77" s="5" t="inlineStr">
        <is>
          <t>Electronics</t>
        </is>
      </c>
      <c r="H77" s="6" t="n">
        <v>4</v>
      </c>
      <c r="I77" s="7" t="n">
        <v>2200</v>
      </c>
      <c r="J77" s="8" t="n">
        <v>0.05</v>
      </c>
      <c r="K77" s="7">
        <f>ROUND(H77*I77*(1-J77),2)</f>
        <v/>
      </c>
      <c r="L77" s="5" t="inlineStr">
        <is>
          <t>UPI</t>
        </is>
      </c>
      <c r="M77" s="5" t="inlineStr">
        <is>
          <t>Phone Order</t>
        </is>
      </c>
    </row>
    <row r="78">
      <c r="A78" s="3" t="inlineStr">
        <is>
          <t>ORD-1077</t>
        </is>
      </c>
      <c r="B78" s="4" t="n">
        <v>45826</v>
      </c>
      <c r="C78" s="5" t="inlineStr">
        <is>
          <t>Central</t>
        </is>
      </c>
      <c r="D78" s="5" t="inlineStr">
        <is>
          <t>Nagpur</t>
        </is>
      </c>
      <c r="E78" s="5" t="inlineStr">
        <is>
          <t>Karthik Raja</t>
        </is>
      </c>
      <c r="F78" s="5" t="inlineStr">
        <is>
          <t>Headphones</t>
        </is>
      </c>
      <c r="G78" s="5" t="inlineStr">
        <is>
          <t>Electronics</t>
        </is>
      </c>
      <c r="H78" s="6" t="n">
        <v>8</v>
      </c>
      <c r="I78" s="7" t="n">
        <v>1800</v>
      </c>
      <c r="J78" s="8" t="n">
        <v>0.05</v>
      </c>
      <c r="K78" s="7">
        <f>ROUND(H78*I78*(1-J78),2)</f>
        <v/>
      </c>
      <c r="L78" s="5" t="inlineStr">
        <is>
          <t>UPI</t>
        </is>
      </c>
      <c r="M78" s="5" t="inlineStr">
        <is>
          <t>Phone Order</t>
        </is>
      </c>
    </row>
    <row r="79">
      <c r="A79" s="3" t="inlineStr">
        <is>
          <t>ORD-1078</t>
        </is>
      </c>
      <c r="B79" s="4" t="n">
        <v>45826</v>
      </c>
      <c r="C79" s="5" t="inlineStr">
        <is>
          <t>North</t>
        </is>
      </c>
      <c r="D79" s="5" t="inlineStr">
        <is>
          <t>Delhi</t>
        </is>
      </c>
      <c r="E79" s="5" t="inlineStr">
        <is>
          <t>Arun Kumar</t>
        </is>
      </c>
      <c r="F79" s="5" t="inlineStr">
        <is>
          <t>Keyboard</t>
        </is>
      </c>
      <c r="G79" s="5" t="inlineStr">
        <is>
          <t>Electronics</t>
        </is>
      </c>
      <c r="H79" s="6" t="n">
        <v>1</v>
      </c>
      <c r="I79" s="7" t="n">
        <v>1200</v>
      </c>
      <c r="J79" s="8" t="n">
        <v>0</v>
      </c>
      <c r="K79" s="7">
        <f>ROUND(H79*I79*(1-J79),2)</f>
        <v/>
      </c>
      <c r="L79" s="5" t="inlineStr">
        <is>
          <t>UPI</t>
        </is>
      </c>
      <c r="M79" s="5" t="inlineStr">
        <is>
          <t>In-Store</t>
        </is>
      </c>
    </row>
    <row r="80">
      <c r="A80" s="3" t="inlineStr">
        <is>
          <t>ORD-1079</t>
        </is>
      </c>
      <c r="B80" s="4" t="n">
        <v>45829</v>
      </c>
      <c r="C80" s="5" t="inlineStr">
        <is>
          <t>West</t>
        </is>
      </c>
      <c r="D80" s="5" t="inlineStr">
        <is>
          <t>Ahmedabad</t>
        </is>
      </c>
      <c r="E80" s="5" t="inlineStr">
        <is>
          <t>Divya Nair</t>
        </is>
      </c>
      <c r="F80" s="5" t="inlineStr">
        <is>
          <t>Office Chair</t>
        </is>
      </c>
      <c r="G80" s="5" t="inlineStr">
        <is>
          <t>Furniture</t>
        </is>
      </c>
      <c r="H80" s="6" t="n">
        <v>2</v>
      </c>
      <c r="I80" s="7" t="n">
        <v>5500</v>
      </c>
      <c r="J80" s="8" t="n">
        <v>0.1</v>
      </c>
      <c r="K80" s="7">
        <f>ROUND(H80*I80*(1-J80),2)</f>
        <v/>
      </c>
      <c r="L80" s="5" t="inlineStr">
        <is>
          <t>Credit Card</t>
        </is>
      </c>
      <c r="M80" s="5" t="inlineStr">
        <is>
          <t>Online</t>
        </is>
      </c>
    </row>
    <row r="81">
      <c r="A81" s="3" t="inlineStr">
        <is>
          <t>ORD-1080</t>
        </is>
      </c>
      <c r="B81" s="4" t="n">
        <v>45834</v>
      </c>
      <c r="C81" s="5" t="inlineStr">
        <is>
          <t>North</t>
        </is>
      </c>
      <c r="D81" s="5" t="inlineStr">
        <is>
          <t>Chandigarh</t>
        </is>
      </c>
      <c r="E81" s="5" t="inlineStr">
        <is>
          <t>Karthik Raja</t>
        </is>
      </c>
      <c r="F81" s="5" t="inlineStr">
        <is>
          <t>Bluetooth Speaker</t>
        </is>
      </c>
      <c r="G81" s="5" t="inlineStr">
        <is>
          <t>Electronics</t>
        </is>
      </c>
      <c r="H81" s="6" t="n">
        <v>1</v>
      </c>
      <c r="I81" s="7" t="n">
        <v>2200</v>
      </c>
      <c r="J81" s="8" t="n">
        <v>0.1</v>
      </c>
      <c r="K81" s="7">
        <f>ROUND(H81*I81*(1-J81),2)</f>
        <v/>
      </c>
      <c r="L81" s="5" t="inlineStr">
        <is>
          <t>Credit Card</t>
        </is>
      </c>
      <c r="M81" s="5" t="inlineStr">
        <is>
          <t>Online</t>
        </is>
      </c>
    </row>
    <row r="82">
      <c r="A82" s="3" t="inlineStr">
        <is>
          <t>ORD-1081</t>
        </is>
      </c>
      <c r="B82" s="4" t="n">
        <v>45835</v>
      </c>
      <c r="C82" s="5" t="inlineStr">
        <is>
          <t>West</t>
        </is>
      </c>
      <c r="D82" s="5" t="inlineStr">
        <is>
          <t>Ahmedabad</t>
        </is>
      </c>
      <c r="E82" s="5" t="inlineStr">
        <is>
          <t>Suresh Babu</t>
        </is>
      </c>
      <c r="F82" s="5" t="inlineStr">
        <is>
          <t>Office Chair</t>
        </is>
      </c>
      <c r="G82" s="5" t="inlineStr">
        <is>
          <t>Furniture</t>
        </is>
      </c>
      <c r="H82" s="6" t="n">
        <v>1</v>
      </c>
      <c r="I82" s="7" t="n">
        <v>5500</v>
      </c>
      <c r="J82" s="8" t="n">
        <v>0</v>
      </c>
      <c r="K82" s="7">
        <f>ROUND(H82*I82*(1-J82),2)</f>
        <v/>
      </c>
      <c r="L82" s="5" t="inlineStr">
        <is>
          <t>Cash</t>
        </is>
      </c>
      <c r="M82" s="5" t="inlineStr">
        <is>
          <t>Phone Order</t>
        </is>
      </c>
    </row>
    <row r="83">
      <c r="A83" s="3" t="inlineStr">
        <is>
          <t>ORD-1082</t>
        </is>
      </c>
      <c r="B83" s="4" t="n">
        <v>45837</v>
      </c>
      <c r="C83" s="5" t="inlineStr">
        <is>
          <t>South</t>
        </is>
      </c>
      <c r="D83" s="5" t="inlineStr">
        <is>
          <t>Chennai</t>
        </is>
      </c>
      <c r="E83" s="5" t="inlineStr">
        <is>
          <t>Arun Kumar</t>
        </is>
      </c>
      <c r="F83" s="5" t="inlineStr">
        <is>
          <t>Office Chair</t>
        </is>
      </c>
      <c r="G83" s="5" t="inlineStr">
        <is>
          <t>Furniture</t>
        </is>
      </c>
      <c r="H83" s="6" t="n">
        <v>1</v>
      </c>
      <c r="I83" s="7" t="n">
        <v>5500</v>
      </c>
      <c r="J83" s="8" t="n">
        <v>0.1</v>
      </c>
      <c r="K83" s="7">
        <f>ROUND(H83*I83*(1-J83),2)</f>
        <v/>
      </c>
      <c r="L83" s="5" t="inlineStr">
        <is>
          <t>Credit Card</t>
        </is>
      </c>
      <c r="M83" s="5" t="inlineStr">
        <is>
          <t>Online</t>
        </is>
      </c>
    </row>
    <row r="84">
      <c r="A84" s="3" t="inlineStr">
        <is>
          <t>ORD-1083</t>
        </is>
      </c>
      <c r="B84" s="4" t="n">
        <v>45839</v>
      </c>
      <c r="C84" s="5" t="inlineStr">
        <is>
          <t>West</t>
        </is>
      </c>
      <c r="D84" s="5" t="inlineStr">
        <is>
          <t>Ahmedabad</t>
        </is>
      </c>
      <c r="E84" s="5" t="inlineStr">
        <is>
          <t>Lakshmi Priya</t>
        </is>
      </c>
      <c r="F84" s="5" t="inlineStr">
        <is>
          <t>Bluetooth Speaker</t>
        </is>
      </c>
      <c r="G84" s="5" t="inlineStr">
        <is>
          <t>Electronics</t>
        </is>
      </c>
      <c r="H84" s="6" t="n">
        <v>5</v>
      </c>
      <c r="I84" s="7" t="n">
        <v>2200</v>
      </c>
      <c r="J84" s="8" t="n">
        <v>0.05</v>
      </c>
      <c r="K84" s="7">
        <f>ROUND(H84*I84*(1-J84),2)</f>
        <v/>
      </c>
      <c r="L84" s="5" t="inlineStr">
        <is>
          <t>UPI</t>
        </is>
      </c>
      <c r="M84" s="5" t="inlineStr">
        <is>
          <t>In-Store</t>
        </is>
      </c>
    </row>
    <row r="85">
      <c r="A85" s="3" t="inlineStr">
        <is>
          <t>ORD-1084</t>
        </is>
      </c>
      <c r="B85" s="4" t="n">
        <v>45848</v>
      </c>
      <c r="C85" s="5" t="inlineStr">
        <is>
          <t>East</t>
        </is>
      </c>
      <c r="D85" s="5" t="inlineStr">
        <is>
          <t>Patna</t>
        </is>
      </c>
      <c r="E85" s="5" t="inlineStr">
        <is>
          <t>Divya Nair</t>
        </is>
      </c>
      <c r="F85" s="5" t="inlineStr">
        <is>
          <t>Office Chair</t>
        </is>
      </c>
      <c r="G85" s="5" t="inlineStr">
        <is>
          <t>Furniture</t>
        </is>
      </c>
      <c r="H85" s="6" t="n">
        <v>3</v>
      </c>
      <c r="I85" s="7" t="n">
        <v>5500</v>
      </c>
      <c r="J85" s="8" t="n">
        <v>0.05</v>
      </c>
      <c r="K85" s="7">
        <f>ROUND(H85*I85*(1-J85),2)</f>
        <v/>
      </c>
      <c r="L85" s="5" t="inlineStr">
        <is>
          <t>Cash</t>
        </is>
      </c>
      <c r="M85" s="5" t="inlineStr">
        <is>
          <t>Phone Order</t>
        </is>
      </c>
    </row>
    <row r="86">
      <c r="A86" s="3" t="inlineStr">
        <is>
          <t>ORD-1085</t>
        </is>
      </c>
      <c r="B86" s="4" t="n">
        <v>45849</v>
      </c>
      <c r="C86" s="5" t="inlineStr">
        <is>
          <t>Central</t>
        </is>
      </c>
      <c r="D86" s="5" t="inlineStr">
        <is>
          <t>Bhopal</t>
        </is>
      </c>
      <c r="E86" s="5" t="inlineStr">
        <is>
          <t>Karthik Raja</t>
        </is>
      </c>
      <c r="F86" s="5" t="inlineStr">
        <is>
          <t>Study Table</t>
        </is>
      </c>
      <c r="G86" s="5" t="inlineStr">
        <is>
          <t>Furniture</t>
        </is>
      </c>
      <c r="H86" s="6" t="n">
        <v>2</v>
      </c>
      <c r="I86" s="7" t="n">
        <v>7200</v>
      </c>
      <c r="J86" s="8" t="n">
        <v>0</v>
      </c>
      <c r="K86" s="7">
        <f>ROUND(H86*I86*(1-J86),2)</f>
        <v/>
      </c>
      <c r="L86" s="5" t="inlineStr">
        <is>
          <t>Net Banking</t>
        </is>
      </c>
      <c r="M86" s="5" t="inlineStr">
        <is>
          <t>In-Store</t>
        </is>
      </c>
    </row>
    <row r="87">
      <c r="A87" s="3" t="inlineStr">
        <is>
          <t>ORD-1086</t>
        </is>
      </c>
      <c r="B87" s="4" t="n">
        <v>45851</v>
      </c>
      <c r="C87" s="5" t="inlineStr">
        <is>
          <t>Central</t>
        </is>
      </c>
      <c r="D87" s="5" t="inlineStr">
        <is>
          <t>Bhopal</t>
        </is>
      </c>
      <c r="E87" s="5" t="inlineStr">
        <is>
          <t>Lakshmi Priya</t>
        </is>
      </c>
      <c r="F87" s="5" t="inlineStr">
        <is>
          <t>Phone Stand</t>
        </is>
      </c>
      <c r="G87" s="5" t="inlineStr">
        <is>
          <t>Accessories</t>
        </is>
      </c>
      <c r="H87" s="6" t="n">
        <v>19</v>
      </c>
      <c r="I87" s="7" t="n">
        <v>350</v>
      </c>
      <c r="J87" s="8" t="n">
        <v>0.1</v>
      </c>
      <c r="K87" s="7">
        <f>ROUND(H87*I87*(1-J87),2)</f>
        <v/>
      </c>
      <c r="L87" s="5" t="inlineStr">
        <is>
          <t>Cash</t>
        </is>
      </c>
      <c r="M87" s="5" t="inlineStr">
        <is>
          <t>Phone Order</t>
        </is>
      </c>
    </row>
    <row r="88">
      <c r="A88" s="3" t="inlineStr">
        <is>
          <t>ORD-1087</t>
        </is>
      </c>
      <c r="B88" s="4" t="n">
        <v>45852</v>
      </c>
      <c r="C88" s="5" t="inlineStr">
        <is>
          <t>East</t>
        </is>
      </c>
      <c r="D88" s="5" t="inlineStr">
        <is>
          <t>Patna</t>
        </is>
      </c>
      <c r="E88" s="5" t="inlineStr">
        <is>
          <t>Divya Nair</t>
        </is>
      </c>
      <c r="F88" s="5" t="inlineStr">
        <is>
          <t>Desk Organizer</t>
        </is>
      </c>
      <c r="G88" s="5" t="inlineStr">
        <is>
          <t>Stationery</t>
        </is>
      </c>
      <c r="H88" s="6" t="n">
        <v>4</v>
      </c>
      <c r="I88" s="7" t="n">
        <v>420</v>
      </c>
      <c r="J88" s="8" t="n">
        <v>0.05</v>
      </c>
      <c r="K88" s="7">
        <f>ROUND(H88*I88*(1-J88),2)</f>
        <v/>
      </c>
      <c r="L88" s="5" t="inlineStr">
        <is>
          <t>Cash</t>
        </is>
      </c>
      <c r="M88" s="5" t="inlineStr">
        <is>
          <t>Online</t>
        </is>
      </c>
    </row>
    <row r="89">
      <c r="A89" s="3" t="inlineStr">
        <is>
          <t>ORD-1088</t>
        </is>
      </c>
      <c r="B89" s="4" t="n">
        <v>45853</v>
      </c>
      <c r="C89" s="5" t="inlineStr">
        <is>
          <t>North</t>
        </is>
      </c>
      <c r="D89" s="5" t="inlineStr">
        <is>
          <t>Delhi</t>
        </is>
      </c>
      <c r="E89" s="5" t="inlineStr">
        <is>
          <t>Lakshmi Priya</t>
        </is>
      </c>
      <c r="F89" s="5" t="inlineStr">
        <is>
          <t>Bookshelf</t>
        </is>
      </c>
      <c r="G89" s="5" t="inlineStr">
        <is>
          <t>Furniture</t>
        </is>
      </c>
      <c r="H89" s="6" t="n">
        <v>1</v>
      </c>
      <c r="I89" s="7" t="n">
        <v>4800</v>
      </c>
      <c r="J89" s="8" t="n">
        <v>0</v>
      </c>
      <c r="K89" s="7">
        <f>ROUND(H89*I89*(1-J89),2)</f>
        <v/>
      </c>
      <c r="L89" s="5" t="inlineStr">
        <is>
          <t>Cash</t>
        </is>
      </c>
      <c r="M89" s="5" t="inlineStr">
        <is>
          <t>Phone Order</t>
        </is>
      </c>
    </row>
    <row r="90">
      <c r="A90" s="3" t="inlineStr">
        <is>
          <t>ORD-1089</t>
        </is>
      </c>
      <c r="B90" s="4" t="n">
        <v>45854</v>
      </c>
      <c r="C90" s="5" t="inlineStr">
        <is>
          <t>West</t>
        </is>
      </c>
      <c r="D90" s="5" t="inlineStr">
        <is>
          <t>Ahmedabad</t>
        </is>
      </c>
      <c r="E90" s="5" t="inlineStr">
        <is>
          <t>Arun Kumar</t>
        </is>
      </c>
      <c r="F90" s="5" t="inlineStr">
        <is>
          <t>Study Table</t>
        </is>
      </c>
      <c r="G90" s="5" t="inlineStr">
        <is>
          <t>Furniture</t>
        </is>
      </c>
      <c r="H90" s="6" t="n">
        <v>1</v>
      </c>
      <c r="I90" s="7" t="n">
        <v>7200</v>
      </c>
      <c r="J90" s="8" t="n">
        <v>0.1</v>
      </c>
      <c r="K90" s="7">
        <f>ROUND(H90*I90*(1-J90),2)</f>
        <v/>
      </c>
      <c r="L90" s="5" t="inlineStr">
        <is>
          <t>Credit Card</t>
        </is>
      </c>
      <c r="M90" s="5" t="inlineStr">
        <is>
          <t>Phone Order</t>
        </is>
      </c>
    </row>
    <row r="91">
      <c r="A91" s="3" t="inlineStr">
        <is>
          <t>ORD-1090</t>
        </is>
      </c>
      <c r="B91" s="4" t="n">
        <v>45858</v>
      </c>
      <c r="C91" s="5" t="inlineStr">
        <is>
          <t>North</t>
        </is>
      </c>
      <c r="D91" s="5" t="inlineStr">
        <is>
          <t>Chandigarh</t>
        </is>
      </c>
      <c r="E91" s="5" t="inlineStr">
        <is>
          <t>Lakshmi Priya</t>
        </is>
      </c>
      <c r="F91" s="5" t="inlineStr">
        <is>
          <t>Laptop Bag</t>
        </is>
      </c>
      <c r="G91" s="5" t="inlineStr">
        <is>
          <t>Accessories</t>
        </is>
      </c>
      <c r="H91" s="6" t="n">
        <v>3</v>
      </c>
      <c r="I91" s="7" t="n">
        <v>1500</v>
      </c>
      <c r="J91" s="8" t="n">
        <v>0.1</v>
      </c>
      <c r="K91" s="7">
        <f>ROUND(H91*I91*(1-J91),2)</f>
        <v/>
      </c>
      <c r="L91" s="5" t="inlineStr">
        <is>
          <t>UPI</t>
        </is>
      </c>
      <c r="M91" s="5" t="inlineStr">
        <is>
          <t>Online</t>
        </is>
      </c>
    </row>
    <row r="92">
      <c r="A92" s="3" t="inlineStr">
        <is>
          <t>ORD-1091</t>
        </is>
      </c>
      <c r="B92" s="4" t="n">
        <v>45858</v>
      </c>
      <c r="C92" s="5" t="inlineStr">
        <is>
          <t>Central</t>
        </is>
      </c>
      <c r="D92" s="5" t="inlineStr">
        <is>
          <t>Nagpur</t>
        </is>
      </c>
      <c r="E92" s="5" t="inlineStr">
        <is>
          <t>Arun Kumar</t>
        </is>
      </c>
      <c r="F92" s="5" t="inlineStr">
        <is>
          <t>Keyboard</t>
        </is>
      </c>
      <c r="G92" s="5" t="inlineStr">
        <is>
          <t>Electronics</t>
        </is>
      </c>
      <c r="H92" s="6" t="n">
        <v>5</v>
      </c>
      <c r="I92" s="7" t="n">
        <v>1200</v>
      </c>
      <c r="J92" s="8" t="n">
        <v>0.1</v>
      </c>
      <c r="K92" s="7">
        <f>ROUND(H92*I92*(1-J92),2)</f>
        <v/>
      </c>
      <c r="L92" s="5" t="inlineStr">
        <is>
          <t>Debit Card</t>
        </is>
      </c>
      <c r="M92" s="5" t="inlineStr">
        <is>
          <t>Online</t>
        </is>
      </c>
    </row>
    <row r="93">
      <c r="A93" s="3" t="inlineStr">
        <is>
          <t>ORD-1092</t>
        </is>
      </c>
      <c r="B93" s="4" t="n">
        <v>45858</v>
      </c>
      <c r="C93" s="5" t="inlineStr">
        <is>
          <t>West</t>
        </is>
      </c>
      <c r="D93" s="5" t="inlineStr">
        <is>
          <t>Mumbai</t>
        </is>
      </c>
      <c r="E93" s="5" t="inlineStr">
        <is>
          <t>Lakshmi Priya</t>
        </is>
      </c>
      <c r="F93" s="5" t="inlineStr">
        <is>
          <t>Phone Stand</t>
        </is>
      </c>
      <c r="G93" s="5" t="inlineStr">
        <is>
          <t>Accessories</t>
        </is>
      </c>
      <c r="H93" s="6" t="n">
        <v>10</v>
      </c>
      <c r="I93" s="7" t="n">
        <v>350</v>
      </c>
      <c r="J93" s="8" t="n">
        <v>0.1</v>
      </c>
      <c r="K93" s="7">
        <f>ROUND(H93*I93*(1-J93),2)</f>
        <v/>
      </c>
      <c r="L93" s="5" t="inlineStr">
        <is>
          <t>Credit Card</t>
        </is>
      </c>
      <c r="M93" s="5" t="inlineStr">
        <is>
          <t>In-Store</t>
        </is>
      </c>
    </row>
    <row r="94">
      <c r="A94" s="3" t="inlineStr">
        <is>
          <t>ORD-1093</t>
        </is>
      </c>
      <c r="B94" s="4" t="n">
        <v>45861</v>
      </c>
      <c r="C94" s="5" t="inlineStr">
        <is>
          <t>West</t>
        </is>
      </c>
      <c r="D94" s="5" t="inlineStr">
        <is>
          <t>Mumbai</t>
        </is>
      </c>
      <c r="E94" s="5" t="inlineStr">
        <is>
          <t>Meena Iyer</t>
        </is>
      </c>
      <c r="F94" s="5" t="inlineStr">
        <is>
          <t>Laptop Bag</t>
        </is>
      </c>
      <c r="G94" s="5" t="inlineStr">
        <is>
          <t>Accessories</t>
        </is>
      </c>
      <c r="H94" s="6" t="n">
        <v>5</v>
      </c>
      <c r="I94" s="7" t="n">
        <v>1500</v>
      </c>
      <c r="J94" s="8" t="n">
        <v>0</v>
      </c>
      <c r="K94" s="7">
        <f>ROUND(H94*I94*(1-J94),2)</f>
        <v/>
      </c>
      <c r="L94" s="5" t="inlineStr">
        <is>
          <t>Credit Card</t>
        </is>
      </c>
      <c r="M94" s="5" t="inlineStr">
        <is>
          <t>Phone Order</t>
        </is>
      </c>
    </row>
    <row r="95">
      <c r="A95" s="3" t="inlineStr">
        <is>
          <t>ORD-1094</t>
        </is>
      </c>
      <c r="B95" s="4" t="n">
        <v>45862</v>
      </c>
      <c r="C95" s="5" t="inlineStr">
        <is>
          <t>Central</t>
        </is>
      </c>
      <c r="D95" s="5" t="inlineStr">
        <is>
          <t>Bhopal</t>
        </is>
      </c>
      <c r="E95" s="5" t="inlineStr">
        <is>
          <t>Suresh Babu</t>
        </is>
      </c>
      <c r="F95" s="5" t="inlineStr">
        <is>
          <t>Study Table</t>
        </is>
      </c>
      <c r="G95" s="5" t="inlineStr">
        <is>
          <t>Furniture</t>
        </is>
      </c>
      <c r="H95" s="6" t="n">
        <v>2</v>
      </c>
      <c r="I95" s="7" t="n">
        <v>7200</v>
      </c>
      <c r="J95" s="8" t="n">
        <v>0.1</v>
      </c>
      <c r="K95" s="7">
        <f>ROUND(H95*I95*(1-J95),2)</f>
        <v/>
      </c>
      <c r="L95" s="5" t="inlineStr">
        <is>
          <t>UPI</t>
        </is>
      </c>
      <c r="M95" s="5" t="inlineStr">
        <is>
          <t>Online</t>
        </is>
      </c>
    </row>
    <row r="96">
      <c r="A96" s="3" t="inlineStr">
        <is>
          <t>ORD-1095</t>
        </is>
      </c>
      <c r="B96" s="4" t="n">
        <v>45864</v>
      </c>
      <c r="C96" s="5" t="inlineStr">
        <is>
          <t>South</t>
        </is>
      </c>
      <c r="D96" s="5" t="inlineStr">
        <is>
          <t>Hyderabad</t>
        </is>
      </c>
      <c r="E96" s="5" t="inlineStr">
        <is>
          <t>Karthik Raja</t>
        </is>
      </c>
      <c r="F96" s="5" t="inlineStr">
        <is>
          <t>Notebook Pack</t>
        </is>
      </c>
      <c r="G96" s="5" t="inlineStr">
        <is>
          <t>Stationery</t>
        </is>
      </c>
      <c r="H96" s="6" t="n">
        <v>38</v>
      </c>
      <c r="I96" s="7" t="n">
        <v>250</v>
      </c>
      <c r="J96" s="8" t="n">
        <v>0</v>
      </c>
      <c r="K96" s="7">
        <f>ROUND(H96*I96*(1-J96),2)</f>
        <v/>
      </c>
      <c r="L96" s="5" t="inlineStr">
        <is>
          <t>Credit Card</t>
        </is>
      </c>
      <c r="M96" s="5" t="inlineStr">
        <is>
          <t>Online</t>
        </is>
      </c>
    </row>
    <row r="97">
      <c r="A97" s="3" t="inlineStr">
        <is>
          <t>ORD-1096</t>
        </is>
      </c>
      <c r="B97" s="4" t="n">
        <v>45864</v>
      </c>
      <c r="C97" s="5" t="inlineStr">
        <is>
          <t>East</t>
        </is>
      </c>
      <c r="D97" s="5" t="inlineStr">
        <is>
          <t>Bhubaneswar</t>
        </is>
      </c>
      <c r="E97" s="5" t="inlineStr">
        <is>
          <t>Meena Iyer</t>
        </is>
      </c>
      <c r="F97" s="5" t="inlineStr">
        <is>
          <t>Gel Pen Box</t>
        </is>
      </c>
      <c r="G97" s="5" t="inlineStr">
        <is>
          <t>Stationery</t>
        </is>
      </c>
      <c r="H97" s="6" t="n">
        <v>25</v>
      </c>
      <c r="I97" s="7" t="n">
        <v>180</v>
      </c>
      <c r="J97" s="8" t="n">
        <v>0</v>
      </c>
      <c r="K97" s="7">
        <f>ROUND(H97*I97*(1-J97),2)</f>
        <v/>
      </c>
      <c r="L97" s="5" t="inlineStr">
        <is>
          <t>Debit Card</t>
        </is>
      </c>
      <c r="M97" s="5" t="inlineStr">
        <is>
          <t>Online</t>
        </is>
      </c>
    </row>
    <row r="98">
      <c r="A98" s="3" t="inlineStr">
        <is>
          <t>ORD-1097</t>
        </is>
      </c>
      <c r="B98" s="4" t="n">
        <v>45872</v>
      </c>
      <c r="C98" s="5" t="inlineStr">
        <is>
          <t>Central</t>
        </is>
      </c>
      <c r="D98" s="5" t="inlineStr">
        <is>
          <t>Bhopal</t>
        </is>
      </c>
      <c r="E98" s="5" t="inlineStr">
        <is>
          <t>Meena Iyer</t>
        </is>
      </c>
      <c r="F98" s="5" t="inlineStr">
        <is>
          <t>Wireless Mouse</t>
        </is>
      </c>
      <c r="G98" s="5" t="inlineStr">
        <is>
          <t>Electronics</t>
        </is>
      </c>
      <c r="H98" s="6" t="n">
        <v>5</v>
      </c>
      <c r="I98" s="7" t="n">
        <v>650</v>
      </c>
      <c r="J98" s="8" t="n">
        <v>0.1</v>
      </c>
      <c r="K98" s="7">
        <f>ROUND(H98*I98*(1-J98),2)</f>
        <v/>
      </c>
      <c r="L98" s="5" t="inlineStr">
        <is>
          <t>Debit Card</t>
        </is>
      </c>
      <c r="M98" s="5" t="inlineStr">
        <is>
          <t>In-Store</t>
        </is>
      </c>
    </row>
    <row r="99">
      <c r="A99" s="3" t="inlineStr">
        <is>
          <t>ORD-1098</t>
        </is>
      </c>
      <c r="B99" s="4" t="n">
        <v>45873</v>
      </c>
      <c r="C99" s="5" t="inlineStr">
        <is>
          <t>East</t>
        </is>
      </c>
      <c r="D99" s="5" t="inlineStr">
        <is>
          <t>Bhubaneswar</t>
        </is>
      </c>
      <c r="E99" s="5" t="inlineStr">
        <is>
          <t>Suresh Babu</t>
        </is>
      </c>
      <c r="F99" s="5" t="inlineStr">
        <is>
          <t>Study Table</t>
        </is>
      </c>
      <c r="G99" s="5" t="inlineStr">
        <is>
          <t>Furniture</t>
        </is>
      </c>
      <c r="H99" s="6" t="n">
        <v>3</v>
      </c>
      <c r="I99" s="7" t="n">
        <v>7200</v>
      </c>
      <c r="J99" s="8" t="n">
        <v>0</v>
      </c>
      <c r="K99" s="7">
        <f>ROUND(H99*I99*(1-J99),2)</f>
        <v/>
      </c>
      <c r="L99" s="5" t="inlineStr">
        <is>
          <t>Cash</t>
        </is>
      </c>
      <c r="M99" s="5" t="inlineStr">
        <is>
          <t>Online</t>
        </is>
      </c>
    </row>
    <row r="100">
      <c r="A100" s="3" t="inlineStr">
        <is>
          <t>ORD-1099</t>
        </is>
      </c>
      <c r="B100" s="4" t="n">
        <v>45875</v>
      </c>
      <c r="C100" s="5" t="inlineStr">
        <is>
          <t>East</t>
        </is>
      </c>
      <c r="D100" s="5" t="inlineStr">
        <is>
          <t>Patna</t>
        </is>
      </c>
      <c r="E100" s="5" t="inlineStr">
        <is>
          <t>Meena Iyer</t>
        </is>
      </c>
      <c r="F100" s="5" t="inlineStr">
        <is>
          <t>Study Table</t>
        </is>
      </c>
      <c r="G100" s="5" t="inlineStr">
        <is>
          <t>Furniture</t>
        </is>
      </c>
      <c r="H100" s="6" t="n">
        <v>2</v>
      </c>
      <c r="I100" s="7" t="n">
        <v>7200</v>
      </c>
      <c r="J100" s="8" t="n">
        <v>0</v>
      </c>
      <c r="K100" s="7">
        <f>ROUND(H100*I100*(1-J100),2)</f>
        <v/>
      </c>
      <c r="L100" s="5" t="inlineStr">
        <is>
          <t>Debit Card</t>
        </is>
      </c>
      <c r="M100" s="5" t="inlineStr">
        <is>
          <t>In-Store</t>
        </is>
      </c>
    </row>
    <row r="101">
      <c r="A101" s="3" t="inlineStr">
        <is>
          <t>ORD-1100</t>
        </is>
      </c>
      <c r="B101" s="4" t="n">
        <v>45875</v>
      </c>
      <c r="C101" s="5" t="inlineStr">
        <is>
          <t>West</t>
        </is>
      </c>
      <c r="D101" s="5" t="inlineStr">
        <is>
          <t>Pune</t>
        </is>
      </c>
      <c r="E101" s="5" t="inlineStr">
        <is>
          <t>Suresh Babu</t>
        </is>
      </c>
      <c r="F101" s="5" t="inlineStr">
        <is>
          <t>Phone Stand</t>
        </is>
      </c>
      <c r="G101" s="5" t="inlineStr">
        <is>
          <t>Accessories</t>
        </is>
      </c>
      <c r="H101" s="6" t="n">
        <v>14</v>
      </c>
      <c r="I101" s="7" t="n">
        <v>350</v>
      </c>
      <c r="J101" s="8" t="n">
        <v>0</v>
      </c>
      <c r="K101" s="7">
        <f>ROUND(H101*I101*(1-J101),2)</f>
        <v/>
      </c>
      <c r="L101" s="5" t="inlineStr">
        <is>
          <t>Cash</t>
        </is>
      </c>
      <c r="M101" s="5" t="inlineStr">
        <is>
          <t>Online</t>
        </is>
      </c>
    </row>
    <row r="102">
      <c r="A102" s="3" t="inlineStr">
        <is>
          <t>ORD-1101</t>
        </is>
      </c>
      <c r="B102" s="4" t="n">
        <v>45875</v>
      </c>
      <c r="C102" s="5" t="inlineStr">
        <is>
          <t>North</t>
        </is>
      </c>
      <c r="D102" s="5" t="inlineStr">
        <is>
          <t>Jaipur</t>
        </is>
      </c>
      <c r="E102" s="5" t="inlineStr">
        <is>
          <t>Lakshmi Priya</t>
        </is>
      </c>
      <c r="F102" s="5" t="inlineStr">
        <is>
          <t>Notebook Pack</t>
        </is>
      </c>
      <c r="G102" s="5" t="inlineStr">
        <is>
          <t>Stationery</t>
        </is>
      </c>
      <c r="H102" s="6" t="n">
        <v>21</v>
      </c>
      <c r="I102" s="7" t="n">
        <v>250</v>
      </c>
      <c r="J102" s="8" t="n">
        <v>0.05</v>
      </c>
      <c r="K102" s="7">
        <f>ROUND(H102*I102*(1-J102),2)</f>
        <v/>
      </c>
      <c r="L102" s="5" t="inlineStr">
        <is>
          <t>Net Banking</t>
        </is>
      </c>
      <c r="M102" s="5" t="inlineStr">
        <is>
          <t>Phone Order</t>
        </is>
      </c>
    </row>
    <row r="103">
      <c r="A103" s="3" t="inlineStr">
        <is>
          <t>ORD-1102</t>
        </is>
      </c>
      <c r="B103" s="4" t="n">
        <v>45877</v>
      </c>
      <c r="C103" s="5" t="inlineStr">
        <is>
          <t>East</t>
        </is>
      </c>
      <c r="D103" s="5" t="inlineStr">
        <is>
          <t>Bhubaneswar</t>
        </is>
      </c>
      <c r="E103" s="5" t="inlineStr">
        <is>
          <t>Karthik Raja</t>
        </is>
      </c>
      <c r="F103" s="5" t="inlineStr">
        <is>
          <t>Laptop Bag</t>
        </is>
      </c>
      <c r="G103" s="5" t="inlineStr">
        <is>
          <t>Accessories</t>
        </is>
      </c>
      <c r="H103" s="6" t="n">
        <v>6</v>
      </c>
      <c r="I103" s="7" t="n">
        <v>1500</v>
      </c>
      <c r="J103" s="8" t="n">
        <v>0.1</v>
      </c>
      <c r="K103" s="7">
        <f>ROUND(H103*I103*(1-J103),2)</f>
        <v/>
      </c>
      <c r="L103" s="5" t="inlineStr">
        <is>
          <t>UPI</t>
        </is>
      </c>
      <c r="M103" s="5" t="inlineStr">
        <is>
          <t>Phone Order</t>
        </is>
      </c>
    </row>
    <row r="104">
      <c r="A104" s="3" t="inlineStr">
        <is>
          <t>ORD-1103</t>
        </is>
      </c>
      <c r="B104" s="4" t="n">
        <v>45879</v>
      </c>
      <c r="C104" s="5" t="inlineStr">
        <is>
          <t>East</t>
        </is>
      </c>
      <c r="D104" s="5" t="inlineStr">
        <is>
          <t>Patna</t>
        </is>
      </c>
      <c r="E104" s="5" t="inlineStr">
        <is>
          <t>Divya Nair</t>
        </is>
      </c>
      <c r="F104" s="5" t="inlineStr">
        <is>
          <t>Gel Pen Box</t>
        </is>
      </c>
      <c r="G104" s="5" t="inlineStr">
        <is>
          <t>Stationery</t>
        </is>
      </c>
      <c r="H104" s="6" t="n">
        <v>15</v>
      </c>
      <c r="I104" s="7" t="n">
        <v>180</v>
      </c>
      <c r="J104" s="8" t="n">
        <v>0</v>
      </c>
      <c r="K104" s="7">
        <f>ROUND(H104*I104*(1-J104),2)</f>
        <v/>
      </c>
      <c r="L104" s="5" t="inlineStr">
        <is>
          <t>Debit Card</t>
        </is>
      </c>
      <c r="M104" s="5" t="inlineStr">
        <is>
          <t>Phone Order</t>
        </is>
      </c>
    </row>
    <row r="105">
      <c r="A105" s="3" t="inlineStr">
        <is>
          <t>ORD-1104</t>
        </is>
      </c>
      <c r="B105" s="4" t="n">
        <v>45887</v>
      </c>
      <c r="C105" s="5" t="inlineStr">
        <is>
          <t>South</t>
        </is>
      </c>
      <c r="D105" s="5" t="inlineStr">
        <is>
          <t>Hyderabad</t>
        </is>
      </c>
      <c r="E105" s="5" t="inlineStr">
        <is>
          <t>Meena Iyer</t>
        </is>
      </c>
      <c r="F105" s="5" t="inlineStr">
        <is>
          <t>Bluetooth Speaker</t>
        </is>
      </c>
      <c r="G105" s="5" t="inlineStr">
        <is>
          <t>Electronics</t>
        </is>
      </c>
      <c r="H105" s="6" t="n">
        <v>2</v>
      </c>
      <c r="I105" s="7" t="n">
        <v>2200</v>
      </c>
      <c r="J105" s="8" t="n">
        <v>0</v>
      </c>
      <c r="K105" s="7">
        <f>ROUND(H105*I105*(1-J105),2)</f>
        <v/>
      </c>
      <c r="L105" s="5" t="inlineStr">
        <is>
          <t>Net Banking</t>
        </is>
      </c>
      <c r="M105" s="5" t="inlineStr">
        <is>
          <t>Online</t>
        </is>
      </c>
    </row>
    <row r="106">
      <c r="A106" s="3" t="inlineStr">
        <is>
          <t>ORD-1105</t>
        </is>
      </c>
      <c r="B106" s="4" t="n">
        <v>45888</v>
      </c>
      <c r="C106" s="5" t="inlineStr">
        <is>
          <t>North</t>
        </is>
      </c>
      <c r="D106" s="5" t="inlineStr">
        <is>
          <t>Jaipur</t>
        </is>
      </c>
      <c r="E106" s="5" t="inlineStr">
        <is>
          <t>Divya Nair</t>
        </is>
      </c>
      <c r="F106" s="5" t="inlineStr">
        <is>
          <t>Laptop Bag</t>
        </is>
      </c>
      <c r="G106" s="5" t="inlineStr">
        <is>
          <t>Accessories</t>
        </is>
      </c>
      <c r="H106" s="6" t="n">
        <v>5</v>
      </c>
      <c r="I106" s="7" t="n">
        <v>1500</v>
      </c>
      <c r="J106" s="8" t="n">
        <v>0</v>
      </c>
      <c r="K106" s="7">
        <f>ROUND(H106*I106*(1-J106),2)</f>
        <v/>
      </c>
      <c r="L106" s="5" t="inlineStr">
        <is>
          <t>Debit Card</t>
        </is>
      </c>
      <c r="M106" s="5" t="inlineStr">
        <is>
          <t>Online</t>
        </is>
      </c>
    </row>
    <row r="107">
      <c r="A107" s="3" t="inlineStr">
        <is>
          <t>ORD-1106</t>
        </is>
      </c>
      <c r="B107" s="4" t="n">
        <v>45890</v>
      </c>
      <c r="C107" s="5" t="inlineStr">
        <is>
          <t>Central</t>
        </is>
      </c>
      <c r="D107" s="5" t="inlineStr">
        <is>
          <t>Indore</t>
        </is>
      </c>
      <c r="E107" s="5" t="inlineStr">
        <is>
          <t>Divya Nair</t>
        </is>
      </c>
      <c r="F107" s="5" t="inlineStr">
        <is>
          <t>Laptop Bag</t>
        </is>
      </c>
      <c r="G107" s="5" t="inlineStr">
        <is>
          <t>Accessories</t>
        </is>
      </c>
      <c r="H107" s="6" t="n">
        <v>2</v>
      </c>
      <c r="I107" s="7" t="n">
        <v>1500</v>
      </c>
      <c r="J107" s="8" t="n">
        <v>0</v>
      </c>
      <c r="K107" s="7">
        <f>ROUND(H107*I107*(1-J107),2)</f>
        <v/>
      </c>
      <c r="L107" s="5" t="inlineStr">
        <is>
          <t>Credit Card</t>
        </is>
      </c>
      <c r="M107" s="5" t="inlineStr">
        <is>
          <t>Phone Order</t>
        </is>
      </c>
    </row>
    <row r="108">
      <c r="A108" s="3" t="inlineStr">
        <is>
          <t>ORD-1107</t>
        </is>
      </c>
      <c r="B108" s="4" t="n">
        <v>45890</v>
      </c>
      <c r="C108" s="5" t="inlineStr">
        <is>
          <t>West</t>
        </is>
      </c>
      <c r="D108" s="5" t="inlineStr">
        <is>
          <t>Mumbai</t>
        </is>
      </c>
      <c r="E108" s="5" t="inlineStr">
        <is>
          <t>Lakshmi Priya</t>
        </is>
      </c>
      <c r="F108" s="5" t="inlineStr">
        <is>
          <t>Desk Organizer</t>
        </is>
      </c>
      <c r="G108" s="5" t="inlineStr">
        <is>
          <t>Stationery</t>
        </is>
      </c>
      <c r="H108" s="6" t="n">
        <v>13</v>
      </c>
      <c r="I108" s="7" t="n">
        <v>420</v>
      </c>
      <c r="J108" s="8" t="n">
        <v>0.15</v>
      </c>
      <c r="K108" s="7">
        <f>ROUND(H108*I108*(1-J108),2)</f>
        <v/>
      </c>
      <c r="L108" s="5" t="inlineStr">
        <is>
          <t>Debit Card</t>
        </is>
      </c>
      <c r="M108" s="5" t="inlineStr">
        <is>
          <t>Online</t>
        </is>
      </c>
    </row>
    <row r="109">
      <c r="A109" s="3" t="inlineStr">
        <is>
          <t>ORD-1108</t>
        </is>
      </c>
      <c r="B109" s="4" t="n">
        <v>45890</v>
      </c>
      <c r="C109" s="5" t="inlineStr">
        <is>
          <t>South</t>
        </is>
      </c>
      <c r="D109" s="5" t="inlineStr">
        <is>
          <t>Hyderabad</t>
        </is>
      </c>
      <c r="E109" s="5" t="inlineStr">
        <is>
          <t>Meena Iyer</t>
        </is>
      </c>
      <c r="F109" s="5" t="inlineStr">
        <is>
          <t>Notebook Pack</t>
        </is>
      </c>
      <c r="G109" s="5" t="inlineStr">
        <is>
          <t>Stationery</t>
        </is>
      </c>
      <c r="H109" s="6" t="n">
        <v>20</v>
      </c>
      <c r="I109" s="7" t="n">
        <v>250</v>
      </c>
      <c r="J109" s="8" t="n">
        <v>0.1</v>
      </c>
      <c r="K109" s="7">
        <f>ROUND(H109*I109*(1-J109),2)</f>
        <v/>
      </c>
      <c r="L109" s="5" t="inlineStr">
        <is>
          <t>Debit Card</t>
        </is>
      </c>
      <c r="M109" s="5" t="inlineStr">
        <is>
          <t>Phone Order</t>
        </is>
      </c>
    </row>
    <row r="110">
      <c r="A110" s="3" t="inlineStr">
        <is>
          <t>ORD-1109</t>
        </is>
      </c>
      <c r="B110" s="4" t="n">
        <v>45891</v>
      </c>
      <c r="C110" s="5" t="inlineStr">
        <is>
          <t>South</t>
        </is>
      </c>
      <c r="D110" s="5" t="inlineStr">
        <is>
          <t>Bengaluru</t>
        </is>
      </c>
      <c r="E110" s="5" t="inlineStr">
        <is>
          <t>Meena Iyer</t>
        </is>
      </c>
      <c r="F110" s="5" t="inlineStr">
        <is>
          <t>Phone Stand</t>
        </is>
      </c>
      <c r="G110" s="5" t="inlineStr">
        <is>
          <t>Accessories</t>
        </is>
      </c>
      <c r="H110" s="6" t="n">
        <v>4</v>
      </c>
      <c r="I110" s="7" t="n">
        <v>350</v>
      </c>
      <c r="J110" s="8" t="n">
        <v>0.05</v>
      </c>
      <c r="K110" s="7">
        <f>ROUND(H110*I110*(1-J110),2)</f>
        <v/>
      </c>
      <c r="L110" s="5" t="inlineStr">
        <is>
          <t>Credit Card</t>
        </is>
      </c>
      <c r="M110" s="5" t="inlineStr">
        <is>
          <t>Online</t>
        </is>
      </c>
    </row>
    <row r="111">
      <c r="A111" s="3" t="inlineStr">
        <is>
          <t>ORD-1110</t>
        </is>
      </c>
      <c r="B111" s="4" t="n">
        <v>45896</v>
      </c>
      <c r="C111" s="5" t="inlineStr">
        <is>
          <t>Central</t>
        </is>
      </c>
      <c r="D111" s="5" t="inlineStr">
        <is>
          <t>Nagpur</t>
        </is>
      </c>
      <c r="E111" s="5" t="inlineStr">
        <is>
          <t>Meena Iyer</t>
        </is>
      </c>
      <c r="F111" s="5" t="inlineStr">
        <is>
          <t>Gel Pen Box</t>
        </is>
      </c>
      <c r="G111" s="5" t="inlineStr">
        <is>
          <t>Stationery</t>
        </is>
      </c>
      <c r="H111" s="6" t="n">
        <v>36</v>
      </c>
      <c r="I111" s="7" t="n">
        <v>180</v>
      </c>
      <c r="J111" s="8" t="n">
        <v>0</v>
      </c>
      <c r="K111" s="7">
        <f>ROUND(H111*I111*(1-J111),2)</f>
        <v/>
      </c>
      <c r="L111" s="5" t="inlineStr">
        <is>
          <t>Net Banking</t>
        </is>
      </c>
      <c r="M111" s="5" t="inlineStr">
        <is>
          <t>Phone Order</t>
        </is>
      </c>
    </row>
    <row r="112">
      <c r="A112" s="3" t="inlineStr">
        <is>
          <t>ORD-1111</t>
        </is>
      </c>
      <c r="B112" s="4" t="n">
        <v>45897</v>
      </c>
      <c r="C112" s="5" t="inlineStr">
        <is>
          <t>Central</t>
        </is>
      </c>
      <c r="D112" s="5" t="inlineStr">
        <is>
          <t>Indore</t>
        </is>
      </c>
      <c r="E112" s="5" t="inlineStr">
        <is>
          <t>Meena Iyer</t>
        </is>
      </c>
      <c r="F112" s="5" t="inlineStr">
        <is>
          <t>Bookshelf</t>
        </is>
      </c>
      <c r="G112" s="5" t="inlineStr">
        <is>
          <t>Furniture</t>
        </is>
      </c>
      <c r="H112" s="6" t="n">
        <v>1</v>
      </c>
      <c r="I112" s="7" t="n">
        <v>4800</v>
      </c>
      <c r="J112" s="8" t="n">
        <v>0.1</v>
      </c>
      <c r="K112" s="7">
        <f>ROUND(H112*I112*(1-J112),2)</f>
        <v/>
      </c>
      <c r="L112" s="5" t="inlineStr">
        <is>
          <t>Cash</t>
        </is>
      </c>
      <c r="M112" s="5" t="inlineStr">
        <is>
          <t>Online</t>
        </is>
      </c>
    </row>
    <row r="113">
      <c r="A113" s="3" t="inlineStr">
        <is>
          <t>ORD-1112</t>
        </is>
      </c>
      <c r="B113" s="4" t="n">
        <v>45898</v>
      </c>
      <c r="C113" s="5" t="inlineStr">
        <is>
          <t>East</t>
        </is>
      </c>
      <c r="D113" s="5" t="inlineStr">
        <is>
          <t>Patna</t>
        </is>
      </c>
      <c r="E113" s="5" t="inlineStr">
        <is>
          <t>Suresh Babu</t>
        </is>
      </c>
      <c r="F113" s="5" t="inlineStr">
        <is>
          <t>Phone Stand</t>
        </is>
      </c>
      <c r="G113" s="5" t="inlineStr">
        <is>
          <t>Accessories</t>
        </is>
      </c>
      <c r="H113" s="6" t="n">
        <v>22</v>
      </c>
      <c r="I113" s="7" t="n">
        <v>350</v>
      </c>
      <c r="J113" s="8" t="n">
        <v>0</v>
      </c>
      <c r="K113" s="7">
        <f>ROUND(H113*I113*(1-J113),2)</f>
        <v/>
      </c>
      <c r="L113" s="5" t="inlineStr">
        <is>
          <t>Cash</t>
        </is>
      </c>
      <c r="M113" s="5" t="inlineStr">
        <is>
          <t>In-Store</t>
        </is>
      </c>
    </row>
    <row r="114">
      <c r="A114" s="3" t="inlineStr">
        <is>
          <t>ORD-1113</t>
        </is>
      </c>
      <c r="B114" s="4" t="n">
        <v>45900</v>
      </c>
      <c r="C114" s="5" t="inlineStr">
        <is>
          <t>Central</t>
        </is>
      </c>
      <c r="D114" s="5" t="inlineStr">
        <is>
          <t>Indore</t>
        </is>
      </c>
      <c r="E114" s="5" t="inlineStr">
        <is>
          <t>Suresh Babu</t>
        </is>
      </c>
      <c r="F114" s="5" t="inlineStr">
        <is>
          <t>Study Table</t>
        </is>
      </c>
      <c r="G114" s="5" t="inlineStr">
        <is>
          <t>Furniture</t>
        </is>
      </c>
      <c r="H114" s="6" t="n">
        <v>3</v>
      </c>
      <c r="I114" s="7" t="n">
        <v>7200</v>
      </c>
      <c r="J114" s="8" t="n">
        <v>0.05</v>
      </c>
      <c r="K114" s="7">
        <f>ROUND(H114*I114*(1-J114),2)</f>
        <v/>
      </c>
      <c r="L114" s="5" t="inlineStr">
        <is>
          <t>UPI</t>
        </is>
      </c>
      <c r="M114" s="5" t="inlineStr">
        <is>
          <t>Phone Order</t>
        </is>
      </c>
    </row>
    <row r="115">
      <c r="A115" s="3" t="inlineStr">
        <is>
          <t>ORD-1114</t>
        </is>
      </c>
      <c r="B115" s="4" t="n">
        <v>45900</v>
      </c>
      <c r="C115" s="5" t="inlineStr">
        <is>
          <t>Central</t>
        </is>
      </c>
      <c r="D115" s="5" t="inlineStr">
        <is>
          <t>Nagpur</t>
        </is>
      </c>
      <c r="E115" s="5" t="inlineStr">
        <is>
          <t>Meena Iyer</t>
        </is>
      </c>
      <c r="F115" s="5" t="inlineStr">
        <is>
          <t>Desk Organizer</t>
        </is>
      </c>
      <c r="G115" s="5" t="inlineStr">
        <is>
          <t>Stationery</t>
        </is>
      </c>
      <c r="H115" s="6" t="n">
        <v>20</v>
      </c>
      <c r="I115" s="7" t="n">
        <v>420</v>
      </c>
      <c r="J115" s="8" t="n">
        <v>0.05</v>
      </c>
      <c r="K115" s="7">
        <f>ROUND(H115*I115*(1-J115),2)</f>
        <v/>
      </c>
      <c r="L115" s="5" t="inlineStr">
        <is>
          <t>Debit Card</t>
        </is>
      </c>
      <c r="M115" s="5" t="inlineStr">
        <is>
          <t>Online</t>
        </is>
      </c>
    </row>
    <row r="116">
      <c r="A116" s="3" t="inlineStr">
        <is>
          <t>ORD-1115</t>
        </is>
      </c>
      <c r="B116" s="4" t="n">
        <v>45900</v>
      </c>
      <c r="C116" s="5" t="inlineStr">
        <is>
          <t>Central</t>
        </is>
      </c>
      <c r="D116" s="5" t="inlineStr">
        <is>
          <t>Nagpur</t>
        </is>
      </c>
      <c r="E116" s="5" t="inlineStr">
        <is>
          <t>Karthik Raja</t>
        </is>
      </c>
      <c r="F116" s="5" t="inlineStr">
        <is>
          <t>Desk Organizer</t>
        </is>
      </c>
      <c r="G116" s="5" t="inlineStr">
        <is>
          <t>Stationery</t>
        </is>
      </c>
      <c r="H116" s="6" t="n">
        <v>6</v>
      </c>
      <c r="I116" s="7" t="n">
        <v>420</v>
      </c>
      <c r="J116" s="8" t="n">
        <v>0</v>
      </c>
      <c r="K116" s="7">
        <f>ROUND(H116*I116*(1-J116),2)</f>
        <v/>
      </c>
      <c r="L116" s="5" t="inlineStr">
        <is>
          <t>Cash</t>
        </is>
      </c>
      <c r="M116" s="5" t="inlineStr">
        <is>
          <t>In-Store</t>
        </is>
      </c>
    </row>
    <row r="117">
      <c r="A117" s="3" t="inlineStr">
        <is>
          <t>ORD-1116</t>
        </is>
      </c>
      <c r="B117" s="4" t="n">
        <v>45901</v>
      </c>
      <c r="C117" s="5" t="inlineStr">
        <is>
          <t>Central</t>
        </is>
      </c>
      <c r="D117" s="5" t="inlineStr">
        <is>
          <t>Bhopal</t>
        </is>
      </c>
      <c r="E117" s="5" t="inlineStr">
        <is>
          <t>Karthik Raja</t>
        </is>
      </c>
      <c r="F117" s="5" t="inlineStr">
        <is>
          <t>Study Table</t>
        </is>
      </c>
      <c r="G117" s="5" t="inlineStr">
        <is>
          <t>Furniture</t>
        </is>
      </c>
      <c r="H117" s="6" t="n">
        <v>2</v>
      </c>
      <c r="I117" s="7" t="n">
        <v>7200</v>
      </c>
      <c r="J117" s="8" t="n">
        <v>0.1</v>
      </c>
      <c r="K117" s="7">
        <f>ROUND(H117*I117*(1-J117),2)</f>
        <v/>
      </c>
      <c r="L117" s="5" t="inlineStr">
        <is>
          <t>Cash</t>
        </is>
      </c>
      <c r="M117" s="5" t="inlineStr">
        <is>
          <t>Online</t>
        </is>
      </c>
    </row>
    <row r="118">
      <c r="A118" s="3" t="inlineStr">
        <is>
          <t>ORD-1117</t>
        </is>
      </c>
      <c r="B118" s="4" t="n">
        <v>45902</v>
      </c>
      <c r="C118" s="5" t="inlineStr">
        <is>
          <t>North</t>
        </is>
      </c>
      <c r="D118" s="5" t="inlineStr">
        <is>
          <t>Delhi</t>
        </is>
      </c>
      <c r="E118" s="5" t="inlineStr">
        <is>
          <t>Karthik Raja</t>
        </is>
      </c>
      <c r="F118" s="5" t="inlineStr">
        <is>
          <t>Bookshelf</t>
        </is>
      </c>
      <c r="G118" s="5" t="inlineStr">
        <is>
          <t>Furniture</t>
        </is>
      </c>
      <c r="H118" s="6" t="n">
        <v>2</v>
      </c>
      <c r="I118" s="7" t="n">
        <v>4800</v>
      </c>
      <c r="J118" s="8" t="n">
        <v>0.15</v>
      </c>
      <c r="K118" s="7">
        <f>ROUND(H118*I118*(1-J118),2)</f>
        <v/>
      </c>
      <c r="L118" s="5" t="inlineStr">
        <is>
          <t>Debit Card</t>
        </is>
      </c>
      <c r="M118" s="5" t="inlineStr">
        <is>
          <t>Phone Order</t>
        </is>
      </c>
    </row>
    <row r="119">
      <c r="A119" s="3" t="inlineStr">
        <is>
          <t>ORD-1118</t>
        </is>
      </c>
      <c r="B119" s="4" t="n">
        <v>45903</v>
      </c>
      <c r="C119" s="5" t="inlineStr">
        <is>
          <t>West</t>
        </is>
      </c>
      <c r="D119" s="5" t="inlineStr">
        <is>
          <t>Pune</t>
        </is>
      </c>
      <c r="E119" s="5" t="inlineStr">
        <is>
          <t>Meena Iyer</t>
        </is>
      </c>
      <c r="F119" s="5" t="inlineStr">
        <is>
          <t>Bookshelf</t>
        </is>
      </c>
      <c r="G119" s="5" t="inlineStr">
        <is>
          <t>Furniture</t>
        </is>
      </c>
      <c r="H119" s="6" t="n">
        <v>2</v>
      </c>
      <c r="I119" s="7" t="n">
        <v>4800</v>
      </c>
      <c r="J119" s="8" t="n">
        <v>0</v>
      </c>
      <c r="K119" s="7">
        <f>ROUND(H119*I119*(1-J119),2)</f>
        <v/>
      </c>
      <c r="L119" s="5" t="inlineStr">
        <is>
          <t>Debit Card</t>
        </is>
      </c>
      <c r="M119" s="5" t="inlineStr">
        <is>
          <t>Online</t>
        </is>
      </c>
    </row>
    <row r="120">
      <c r="A120" s="3" t="inlineStr">
        <is>
          <t>ORD-1119</t>
        </is>
      </c>
      <c r="B120" s="4" t="n">
        <v>45906</v>
      </c>
      <c r="C120" s="5" t="inlineStr">
        <is>
          <t>West</t>
        </is>
      </c>
      <c r="D120" s="5" t="inlineStr">
        <is>
          <t>Mumbai</t>
        </is>
      </c>
      <c r="E120" s="5" t="inlineStr">
        <is>
          <t>Karthik Raja</t>
        </is>
      </c>
      <c r="F120" s="5" t="inlineStr">
        <is>
          <t>Wireless Mouse</t>
        </is>
      </c>
      <c r="G120" s="5" t="inlineStr">
        <is>
          <t>Electronics</t>
        </is>
      </c>
      <c r="H120" s="6" t="n">
        <v>3</v>
      </c>
      <c r="I120" s="7" t="n">
        <v>650</v>
      </c>
      <c r="J120" s="8" t="n">
        <v>0.05</v>
      </c>
      <c r="K120" s="7">
        <f>ROUND(H120*I120*(1-J120),2)</f>
        <v/>
      </c>
      <c r="L120" s="5" t="inlineStr">
        <is>
          <t>Credit Card</t>
        </is>
      </c>
      <c r="M120" s="5" t="inlineStr">
        <is>
          <t>Phone Order</t>
        </is>
      </c>
    </row>
    <row r="121">
      <c r="A121" s="3" t="inlineStr">
        <is>
          <t>ORD-1120</t>
        </is>
      </c>
      <c r="B121" s="4" t="n">
        <v>45909</v>
      </c>
      <c r="C121" s="5" t="inlineStr">
        <is>
          <t>East</t>
        </is>
      </c>
      <c r="D121" s="5" t="inlineStr">
        <is>
          <t>Bhubaneswar</t>
        </is>
      </c>
      <c r="E121" s="5" t="inlineStr">
        <is>
          <t>Lakshmi Priya</t>
        </is>
      </c>
      <c r="F121" s="5" t="inlineStr">
        <is>
          <t>Office Chair</t>
        </is>
      </c>
      <c r="G121" s="5" t="inlineStr">
        <is>
          <t>Furniture</t>
        </is>
      </c>
      <c r="H121" s="6" t="n">
        <v>3</v>
      </c>
      <c r="I121" s="7" t="n">
        <v>5500</v>
      </c>
      <c r="J121" s="8" t="n">
        <v>0.1</v>
      </c>
      <c r="K121" s="7">
        <f>ROUND(H121*I121*(1-J121),2)</f>
        <v/>
      </c>
      <c r="L121" s="5" t="inlineStr">
        <is>
          <t>Debit Card</t>
        </is>
      </c>
      <c r="M121" s="5" t="inlineStr">
        <is>
          <t>In-Store</t>
        </is>
      </c>
    </row>
    <row r="122">
      <c r="A122" s="3" t="inlineStr">
        <is>
          <t>ORD-1121</t>
        </is>
      </c>
      <c r="B122" s="4" t="n">
        <v>45910</v>
      </c>
      <c r="C122" s="5" t="inlineStr">
        <is>
          <t>East</t>
        </is>
      </c>
      <c r="D122" s="5" t="inlineStr">
        <is>
          <t>Bhubaneswar</t>
        </is>
      </c>
      <c r="E122" s="5" t="inlineStr">
        <is>
          <t>Lakshmi Priya</t>
        </is>
      </c>
      <c r="F122" s="5" t="inlineStr">
        <is>
          <t>Headphones</t>
        </is>
      </c>
      <c r="G122" s="5" t="inlineStr">
        <is>
          <t>Electronics</t>
        </is>
      </c>
      <c r="H122" s="6" t="n">
        <v>8</v>
      </c>
      <c r="I122" s="7" t="n">
        <v>1800</v>
      </c>
      <c r="J122" s="8" t="n">
        <v>0.1</v>
      </c>
      <c r="K122" s="7">
        <f>ROUND(H122*I122*(1-J122),2)</f>
        <v/>
      </c>
      <c r="L122" s="5" t="inlineStr">
        <is>
          <t>UPI</t>
        </is>
      </c>
      <c r="M122" s="5" t="inlineStr">
        <is>
          <t>Online</t>
        </is>
      </c>
    </row>
    <row r="123">
      <c r="A123" s="3" t="inlineStr">
        <is>
          <t>ORD-1122</t>
        </is>
      </c>
      <c r="B123" s="4" t="n">
        <v>45915</v>
      </c>
      <c r="C123" s="5" t="inlineStr">
        <is>
          <t>North</t>
        </is>
      </c>
      <c r="D123" s="5" t="inlineStr">
        <is>
          <t>Delhi</t>
        </is>
      </c>
      <c r="E123" s="5" t="inlineStr">
        <is>
          <t>Lakshmi Priya</t>
        </is>
      </c>
      <c r="F123" s="5" t="inlineStr">
        <is>
          <t>Headphones</t>
        </is>
      </c>
      <c r="G123" s="5" t="inlineStr">
        <is>
          <t>Electronics</t>
        </is>
      </c>
      <c r="H123" s="6" t="n">
        <v>3</v>
      </c>
      <c r="I123" s="7" t="n">
        <v>1800</v>
      </c>
      <c r="J123" s="8" t="n">
        <v>0.05</v>
      </c>
      <c r="K123" s="7">
        <f>ROUND(H123*I123*(1-J123),2)</f>
        <v/>
      </c>
      <c r="L123" s="5" t="inlineStr">
        <is>
          <t>Cash</t>
        </is>
      </c>
      <c r="M123" s="5" t="inlineStr">
        <is>
          <t>Online</t>
        </is>
      </c>
    </row>
    <row r="124">
      <c r="A124" s="3" t="inlineStr">
        <is>
          <t>ORD-1123</t>
        </is>
      </c>
      <c r="B124" s="4" t="n">
        <v>45918</v>
      </c>
      <c r="C124" s="5" t="inlineStr">
        <is>
          <t>East</t>
        </is>
      </c>
      <c r="D124" s="5" t="inlineStr">
        <is>
          <t>Kolkata</t>
        </is>
      </c>
      <c r="E124" s="5" t="inlineStr">
        <is>
          <t>Lakshmi Priya</t>
        </is>
      </c>
      <c r="F124" s="5" t="inlineStr">
        <is>
          <t>Notebook Pack</t>
        </is>
      </c>
      <c r="G124" s="5" t="inlineStr">
        <is>
          <t>Stationery</t>
        </is>
      </c>
      <c r="H124" s="6" t="n">
        <v>11</v>
      </c>
      <c r="I124" s="7" t="n">
        <v>250</v>
      </c>
      <c r="J124" s="8" t="n">
        <v>0.1</v>
      </c>
      <c r="K124" s="7">
        <f>ROUND(H124*I124*(1-J124),2)</f>
        <v/>
      </c>
      <c r="L124" s="5" t="inlineStr">
        <is>
          <t>Credit Card</t>
        </is>
      </c>
      <c r="M124" s="5" t="inlineStr">
        <is>
          <t>Online</t>
        </is>
      </c>
    </row>
    <row r="125">
      <c r="A125" s="3" t="inlineStr">
        <is>
          <t>ORD-1124</t>
        </is>
      </c>
      <c r="B125" s="4" t="n">
        <v>45926</v>
      </c>
      <c r="C125" s="5" t="inlineStr">
        <is>
          <t>North</t>
        </is>
      </c>
      <c r="D125" s="5" t="inlineStr">
        <is>
          <t>Chandigarh</t>
        </is>
      </c>
      <c r="E125" s="5" t="inlineStr">
        <is>
          <t>Suresh Babu</t>
        </is>
      </c>
      <c r="F125" s="5" t="inlineStr">
        <is>
          <t>Desk Organizer</t>
        </is>
      </c>
      <c r="G125" s="5" t="inlineStr">
        <is>
          <t>Stationery</t>
        </is>
      </c>
      <c r="H125" s="6" t="n">
        <v>3</v>
      </c>
      <c r="I125" s="7" t="n">
        <v>420</v>
      </c>
      <c r="J125" s="8" t="n">
        <v>0.05</v>
      </c>
      <c r="K125" s="7">
        <f>ROUND(H125*I125*(1-J125),2)</f>
        <v/>
      </c>
      <c r="L125" s="5" t="inlineStr">
        <is>
          <t>UPI</t>
        </is>
      </c>
      <c r="M125" s="5" t="inlineStr">
        <is>
          <t>In-Store</t>
        </is>
      </c>
    </row>
    <row r="126">
      <c r="A126" s="3" t="inlineStr">
        <is>
          <t>ORD-1125</t>
        </is>
      </c>
      <c r="B126" s="4" t="n">
        <v>45926</v>
      </c>
      <c r="C126" s="5" t="inlineStr">
        <is>
          <t>North</t>
        </is>
      </c>
      <c r="D126" s="5" t="inlineStr">
        <is>
          <t>Jaipur</t>
        </is>
      </c>
      <c r="E126" s="5" t="inlineStr">
        <is>
          <t>Lakshmi Priya</t>
        </is>
      </c>
      <c r="F126" s="5" t="inlineStr">
        <is>
          <t>Keyboard</t>
        </is>
      </c>
      <c r="G126" s="5" t="inlineStr">
        <is>
          <t>Electronics</t>
        </is>
      </c>
      <c r="H126" s="6" t="n">
        <v>12</v>
      </c>
      <c r="I126" s="7" t="n">
        <v>1200</v>
      </c>
      <c r="J126" s="8" t="n">
        <v>0.1</v>
      </c>
      <c r="K126" s="7">
        <f>ROUND(H126*I126*(1-J126),2)</f>
        <v/>
      </c>
      <c r="L126" s="5" t="inlineStr">
        <is>
          <t>Cash</t>
        </is>
      </c>
      <c r="M126" s="5" t="inlineStr">
        <is>
          <t>In-Store</t>
        </is>
      </c>
    </row>
    <row r="127">
      <c r="A127" s="3" t="inlineStr">
        <is>
          <t>ORD-1126</t>
        </is>
      </c>
      <c r="B127" s="4" t="n">
        <v>45927</v>
      </c>
      <c r="C127" s="5" t="inlineStr">
        <is>
          <t>East</t>
        </is>
      </c>
      <c r="D127" s="5" t="inlineStr">
        <is>
          <t>Kolkata</t>
        </is>
      </c>
      <c r="E127" s="5" t="inlineStr">
        <is>
          <t>Lakshmi Priya</t>
        </is>
      </c>
      <c r="F127" s="5" t="inlineStr">
        <is>
          <t>Notebook Pack</t>
        </is>
      </c>
      <c r="G127" s="5" t="inlineStr">
        <is>
          <t>Stationery</t>
        </is>
      </c>
      <c r="H127" s="6" t="n">
        <v>8</v>
      </c>
      <c r="I127" s="7" t="n">
        <v>250</v>
      </c>
      <c r="J127" s="8" t="n">
        <v>0.05</v>
      </c>
      <c r="K127" s="7">
        <f>ROUND(H127*I127*(1-J127),2)</f>
        <v/>
      </c>
      <c r="L127" s="5" t="inlineStr">
        <is>
          <t>Cash</t>
        </is>
      </c>
      <c r="M127" s="5" t="inlineStr">
        <is>
          <t>In-Store</t>
        </is>
      </c>
    </row>
    <row r="128">
      <c r="A128" s="3" t="inlineStr">
        <is>
          <t>ORD-1127</t>
        </is>
      </c>
      <c r="B128" s="4" t="n">
        <v>45928</v>
      </c>
      <c r="C128" s="5" t="inlineStr">
        <is>
          <t>North</t>
        </is>
      </c>
      <c r="D128" s="5" t="inlineStr">
        <is>
          <t>Jaipur</t>
        </is>
      </c>
      <c r="E128" s="5" t="inlineStr">
        <is>
          <t>Meena Iyer</t>
        </is>
      </c>
      <c r="F128" s="5" t="inlineStr">
        <is>
          <t>Notebook Pack</t>
        </is>
      </c>
      <c r="G128" s="5" t="inlineStr">
        <is>
          <t>Stationery</t>
        </is>
      </c>
      <c r="H128" s="6" t="n">
        <v>23</v>
      </c>
      <c r="I128" s="7" t="n">
        <v>250</v>
      </c>
      <c r="J128" s="8" t="n">
        <v>0.15</v>
      </c>
      <c r="K128" s="7">
        <f>ROUND(H128*I128*(1-J128),2)</f>
        <v/>
      </c>
      <c r="L128" s="5" t="inlineStr">
        <is>
          <t>Cash</t>
        </is>
      </c>
      <c r="M128" s="5" t="inlineStr">
        <is>
          <t>Phone Order</t>
        </is>
      </c>
    </row>
    <row r="129">
      <c r="A129" s="3" t="inlineStr">
        <is>
          <t>ORD-1128</t>
        </is>
      </c>
      <c r="B129" s="4" t="n">
        <v>45930</v>
      </c>
      <c r="C129" s="5" t="inlineStr">
        <is>
          <t>West</t>
        </is>
      </c>
      <c r="D129" s="5" t="inlineStr">
        <is>
          <t>Mumbai</t>
        </is>
      </c>
      <c r="E129" s="5" t="inlineStr">
        <is>
          <t>Divya Nair</t>
        </is>
      </c>
      <c r="F129" s="5" t="inlineStr">
        <is>
          <t>Bluetooth Speaker</t>
        </is>
      </c>
      <c r="G129" s="5" t="inlineStr">
        <is>
          <t>Electronics</t>
        </is>
      </c>
      <c r="H129" s="6" t="n">
        <v>7</v>
      </c>
      <c r="I129" s="7" t="n">
        <v>2200</v>
      </c>
      <c r="J129" s="8" t="n">
        <v>0.05</v>
      </c>
      <c r="K129" s="7">
        <f>ROUND(H129*I129*(1-J129),2)</f>
        <v/>
      </c>
      <c r="L129" s="5" t="inlineStr">
        <is>
          <t>Net Banking</t>
        </is>
      </c>
      <c r="M129" s="5" t="inlineStr">
        <is>
          <t>In-Store</t>
        </is>
      </c>
    </row>
    <row r="130">
      <c r="A130" s="3" t="inlineStr">
        <is>
          <t>ORD-1129</t>
        </is>
      </c>
      <c r="B130" s="4" t="n">
        <v>45931</v>
      </c>
      <c r="C130" s="5" t="inlineStr">
        <is>
          <t>West</t>
        </is>
      </c>
      <c r="D130" s="5" t="inlineStr">
        <is>
          <t>Ahmedabad</t>
        </is>
      </c>
      <c r="E130" s="5" t="inlineStr">
        <is>
          <t>Lakshmi Priya</t>
        </is>
      </c>
      <c r="F130" s="5" t="inlineStr">
        <is>
          <t>Gel Pen Box</t>
        </is>
      </c>
      <c r="G130" s="5" t="inlineStr">
        <is>
          <t>Stationery</t>
        </is>
      </c>
      <c r="H130" s="6" t="n">
        <v>23</v>
      </c>
      <c r="I130" s="7" t="n">
        <v>180</v>
      </c>
      <c r="J130" s="8" t="n">
        <v>0.15</v>
      </c>
      <c r="K130" s="7">
        <f>ROUND(H130*I130*(1-J130),2)</f>
        <v/>
      </c>
      <c r="L130" s="5" t="inlineStr">
        <is>
          <t>Net Banking</t>
        </is>
      </c>
      <c r="M130" s="5" t="inlineStr">
        <is>
          <t>Online</t>
        </is>
      </c>
    </row>
    <row r="131">
      <c r="A131" s="3" t="inlineStr">
        <is>
          <t>ORD-1130</t>
        </is>
      </c>
      <c r="B131" s="4" t="n">
        <v>45933</v>
      </c>
      <c r="C131" s="5" t="inlineStr">
        <is>
          <t>Central</t>
        </is>
      </c>
      <c r="D131" s="5" t="inlineStr">
        <is>
          <t>Nagpur</t>
        </is>
      </c>
      <c r="E131" s="5" t="inlineStr">
        <is>
          <t>Lakshmi Priya</t>
        </is>
      </c>
      <c r="F131" s="5" t="inlineStr">
        <is>
          <t>Notebook Pack</t>
        </is>
      </c>
      <c r="G131" s="5" t="inlineStr">
        <is>
          <t>Stationery</t>
        </is>
      </c>
      <c r="H131" s="6" t="n">
        <v>11</v>
      </c>
      <c r="I131" s="7" t="n">
        <v>250</v>
      </c>
      <c r="J131" s="8" t="n">
        <v>0</v>
      </c>
      <c r="K131" s="7">
        <f>ROUND(H131*I131*(1-J131),2)</f>
        <v/>
      </c>
      <c r="L131" s="5" t="inlineStr">
        <is>
          <t>Debit Card</t>
        </is>
      </c>
      <c r="M131" s="5" t="inlineStr">
        <is>
          <t>Phone Order</t>
        </is>
      </c>
    </row>
    <row r="132">
      <c r="A132" s="3" t="inlineStr">
        <is>
          <t>ORD-1131</t>
        </is>
      </c>
      <c r="B132" s="4" t="n">
        <v>45933</v>
      </c>
      <c r="C132" s="5" t="inlineStr">
        <is>
          <t>East</t>
        </is>
      </c>
      <c r="D132" s="5" t="inlineStr">
        <is>
          <t>Kolkata</t>
        </is>
      </c>
      <c r="E132" s="5" t="inlineStr">
        <is>
          <t>Karthik Raja</t>
        </is>
      </c>
      <c r="F132" s="5" t="inlineStr">
        <is>
          <t>Gel Pen Box</t>
        </is>
      </c>
      <c r="G132" s="5" t="inlineStr">
        <is>
          <t>Stationery</t>
        </is>
      </c>
      <c r="H132" s="6" t="n">
        <v>45</v>
      </c>
      <c r="I132" s="7" t="n">
        <v>180</v>
      </c>
      <c r="J132" s="8" t="n">
        <v>0.15</v>
      </c>
      <c r="K132" s="7">
        <f>ROUND(H132*I132*(1-J132),2)</f>
        <v/>
      </c>
      <c r="L132" s="5" t="inlineStr">
        <is>
          <t>Cash</t>
        </is>
      </c>
      <c r="M132" s="5" t="inlineStr">
        <is>
          <t>Online</t>
        </is>
      </c>
    </row>
    <row r="133">
      <c r="A133" s="3" t="inlineStr">
        <is>
          <t>ORD-1132</t>
        </is>
      </c>
      <c r="B133" s="4" t="n">
        <v>45933</v>
      </c>
      <c r="C133" s="5" t="inlineStr">
        <is>
          <t>Central</t>
        </is>
      </c>
      <c r="D133" s="5" t="inlineStr">
        <is>
          <t>Nagpur</t>
        </is>
      </c>
      <c r="E133" s="5" t="inlineStr">
        <is>
          <t>Divya Nair</t>
        </is>
      </c>
      <c r="F133" s="5" t="inlineStr">
        <is>
          <t>Office Chair</t>
        </is>
      </c>
      <c r="G133" s="5" t="inlineStr">
        <is>
          <t>Furniture</t>
        </is>
      </c>
      <c r="H133" s="6" t="n">
        <v>2</v>
      </c>
      <c r="I133" s="7" t="n">
        <v>5500</v>
      </c>
      <c r="J133" s="8" t="n">
        <v>0.1</v>
      </c>
      <c r="K133" s="7">
        <f>ROUND(H133*I133*(1-J133),2)</f>
        <v/>
      </c>
      <c r="L133" s="5" t="inlineStr">
        <is>
          <t>Credit Card</t>
        </is>
      </c>
      <c r="M133" s="5" t="inlineStr">
        <is>
          <t>In-Store</t>
        </is>
      </c>
    </row>
    <row r="134">
      <c r="A134" s="3" t="inlineStr">
        <is>
          <t>ORD-1133</t>
        </is>
      </c>
      <c r="B134" s="4" t="n">
        <v>45943</v>
      </c>
      <c r="C134" s="5" t="inlineStr">
        <is>
          <t>South</t>
        </is>
      </c>
      <c r="D134" s="5" t="inlineStr">
        <is>
          <t>Bengaluru</t>
        </is>
      </c>
      <c r="E134" s="5" t="inlineStr">
        <is>
          <t>Suresh Babu</t>
        </is>
      </c>
      <c r="F134" s="5" t="inlineStr">
        <is>
          <t>Gel Pen Box</t>
        </is>
      </c>
      <c r="G134" s="5" t="inlineStr">
        <is>
          <t>Stationery</t>
        </is>
      </c>
      <c r="H134" s="6" t="n">
        <v>45</v>
      </c>
      <c r="I134" s="7" t="n">
        <v>180</v>
      </c>
      <c r="J134" s="8" t="n">
        <v>0</v>
      </c>
      <c r="K134" s="7">
        <f>ROUND(H134*I134*(1-J134),2)</f>
        <v/>
      </c>
      <c r="L134" s="5" t="inlineStr">
        <is>
          <t>Net Banking</t>
        </is>
      </c>
      <c r="M134" s="5" t="inlineStr">
        <is>
          <t>Phone Order</t>
        </is>
      </c>
    </row>
    <row r="135">
      <c r="A135" s="3" t="inlineStr">
        <is>
          <t>ORD-1134</t>
        </is>
      </c>
      <c r="B135" s="4" t="n">
        <v>45944</v>
      </c>
      <c r="C135" s="5" t="inlineStr">
        <is>
          <t>South</t>
        </is>
      </c>
      <c r="D135" s="5" t="inlineStr">
        <is>
          <t>Bengaluru</t>
        </is>
      </c>
      <c r="E135" s="5" t="inlineStr">
        <is>
          <t>Lakshmi Priya</t>
        </is>
      </c>
      <c r="F135" s="5" t="inlineStr">
        <is>
          <t>Office Chair</t>
        </is>
      </c>
      <c r="G135" s="5" t="inlineStr">
        <is>
          <t>Furniture</t>
        </is>
      </c>
      <c r="H135" s="6" t="n">
        <v>3</v>
      </c>
      <c r="I135" s="7" t="n">
        <v>5500</v>
      </c>
      <c r="J135" s="8" t="n">
        <v>0.15</v>
      </c>
      <c r="K135" s="7">
        <f>ROUND(H135*I135*(1-J135),2)</f>
        <v/>
      </c>
      <c r="L135" s="5" t="inlineStr">
        <is>
          <t>Debit Card</t>
        </is>
      </c>
      <c r="M135" s="5" t="inlineStr">
        <is>
          <t>In-Store</t>
        </is>
      </c>
    </row>
    <row r="136">
      <c r="A136" s="3" t="inlineStr">
        <is>
          <t>ORD-1135</t>
        </is>
      </c>
      <c r="B136" s="4" t="n">
        <v>45945</v>
      </c>
      <c r="C136" s="5" t="inlineStr">
        <is>
          <t>West</t>
        </is>
      </c>
      <c r="D136" s="5" t="inlineStr">
        <is>
          <t>Mumbai</t>
        </is>
      </c>
      <c r="E136" s="5" t="inlineStr">
        <is>
          <t>Divya Nair</t>
        </is>
      </c>
      <c r="F136" s="5" t="inlineStr">
        <is>
          <t>Notebook Pack</t>
        </is>
      </c>
      <c r="G136" s="5" t="inlineStr">
        <is>
          <t>Stationery</t>
        </is>
      </c>
      <c r="H136" s="6" t="n">
        <v>28</v>
      </c>
      <c r="I136" s="7" t="n">
        <v>250</v>
      </c>
      <c r="J136" s="8" t="n">
        <v>0.15</v>
      </c>
      <c r="K136" s="7">
        <f>ROUND(H136*I136*(1-J136),2)</f>
        <v/>
      </c>
      <c r="L136" s="5" t="inlineStr">
        <is>
          <t>Debit Card</t>
        </is>
      </c>
      <c r="M136" s="5" t="inlineStr">
        <is>
          <t>Online</t>
        </is>
      </c>
    </row>
    <row r="137">
      <c r="A137" s="3" t="inlineStr">
        <is>
          <t>ORD-1136</t>
        </is>
      </c>
      <c r="B137" s="4" t="n">
        <v>45948</v>
      </c>
      <c r="C137" s="5" t="inlineStr">
        <is>
          <t>Central</t>
        </is>
      </c>
      <c r="D137" s="5" t="inlineStr">
        <is>
          <t>Bhopal</t>
        </is>
      </c>
      <c r="E137" s="5" t="inlineStr">
        <is>
          <t>Suresh Babu</t>
        </is>
      </c>
      <c r="F137" s="5" t="inlineStr">
        <is>
          <t>Phone Stand</t>
        </is>
      </c>
      <c r="G137" s="5" t="inlineStr">
        <is>
          <t>Accessories</t>
        </is>
      </c>
      <c r="H137" s="6" t="n">
        <v>20</v>
      </c>
      <c r="I137" s="7" t="n">
        <v>350</v>
      </c>
      <c r="J137" s="8" t="n">
        <v>0.15</v>
      </c>
      <c r="K137" s="7">
        <f>ROUND(H137*I137*(1-J137),2)</f>
        <v/>
      </c>
      <c r="L137" s="5" t="inlineStr">
        <is>
          <t>Credit Card</t>
        </is>
      </c>
      <c r="M137" s="5" t="inlineStr">
        <is>
          <t>Online</t>
        </is>
      </c>
    </row>
    <row r="138">
      <c r="A138" s="3" t="inlineStr">
        <is>
          <t>ORD-1137</t>
        </is>
      </c>
      <c r="B138" s="4" t="n">
        <v>45951</v>
      </c>
      <c r="C138" s="5" t="inlineStr">
        <is>
          <t>Central</t>
        </is>
      </c>
      <c r="D138" s="5" t="inlineStr">
        <is>
          <t>Nagpur</t>
        </is>
      </c>
      <c r="E138" s="5" t="inlineStr">
        <is>
          <t>Lakshmi Priya</t>
        </is>
      </c>
      <c r="F138" s="5" t="inlineStr">
        <is>
          <t>Gel Pen Box</t>
        </is>
      </c>
      <c r="G138" s="5" t="inlineStr">
        <is>
          <t>Stationery</t>
        </is>
      </c>
      <c r="H138" s="6" t="n">
        <v>49</v>
      </c>
      <c r="I138" s="7" t="n">
        <v>180</v>
      </c>
      <c r="J138" s="8" t="n">
        <v>0</v>
      </c>
      <c r="K138" s="7">
        <f>ROUND(H138*I138*(1-J138),2)</f>
        <v/>
      </c>
      <c r="L138" s="5" t="inlineStr">
        <is>
          <t>Credit Card</t>
        </is>
      </c>
      <c r="M138" s="5" t="inlineStr">
        <is>
          <t>In-Store</t>
        </is>
      </c>
    </row>
    <row r="139">
      <c r="A139" s="3" t="inlineStr">
        <is>
          <t>ORD-1138</t>
        </is>
      </c>
      <c r="B139" s="4" t="n">
        <v>45952</v>
      </c>
      <c r="C139" s="5" t="inlineStr">
        <is>
          <t>Central</t>
        </is>
      </c>
      <c r="D139" s="5" t="inlineStr">
        <is>
          <t>Nagpur</t>
        </is>
      </c>
      <c r="E139" s="5" t="inlineStr">
        <is>
          <t>Divya Nair</t>
        </is>
      </c>
      <c r="F139" s="5" t="inlineStr">
        <is>
          <t>Notebook Pack</t>
        </is>
      </c>
      <c r="G139" s="5" t="inlineStr">
        <is>
          <t>Stationery</t>
        </is>
      </c>
      <c r="H139" s="6" t="n">
        <v>26</v>
      </c>
      <c r="I139" s="7" t="n">
        <v>250</v>
      </c>
      <c r="J139" s="8" t="n">
        <v>0</v>
      </c>
      <c r="K139" s="7">
        <f>ROUND(H139*I139*(1-J139),2)</f>
        <v/>
      </c>
      <c r="L139" s="5" t="inlineStr">
        <is>
          <t>Credit Card</t>
        </is>
      </c>
      <c r="M139" s="5" t="inlineStr">
        <is>
          <t>Phone Order</t>
        </is>
      </c>
    </row>
    <row r="140">
      <c r="A140" s="3" t="inlineStr">
        <is>
          <t>ORD-1139</t>
        </is>
      </c>
      <c r="B140" s="4" t="n">
        <v>45953</v>
      </c>
      <c r="C140" s="5" t="inlineStr">
        <is>
          <t>East</t>
        </is>
      </c>
      <c r="D140" s="5" t="inlineStr">
        <is>
          <t>Kolkata</t>
        </is>
      </c>
      <c r="E140" s="5" t="inlineStr">
        <is>
          <t>Suresh Babu</t>
        </is>
      </c>
      <c r="F140" s="5" t="inlineStr">
        <is>
          <t>Keyboard</t>
        </is>
      </c>
      <c r="G140" s="5" t="inlineStr">
        <is>
          <t>Electronics</t>
        </is>
      </c>
      <c r="H140" s="6" t="n">
        <v>11</v>
      </c>
      <c r="I140" s="7" t="n">
        <v>1200</v>
      </c>
      <c r="J140" s="8" t="n">
        <v>0</v>
      </c>
      <c r="K140" s="7">
        <f>ROUND(H140*I140*(1-J140),2)</f>
        <v/>
      </c>
      <c r="L140" s="5" t="inlineStr">
        <is>
          <t>Credit Card</t>
        </is>
      </c>
      <c r="M140" s="5" t="inlineStr">
        <is>
          <t>Phone Order</t>
        </is>
      </c>
    </row>
    <row r="141">
      <c r="A141" s="3" t="inlineStr">
        <is>
          <t>ORD-1140</t>
        </is>
      </c>
      <c r="B141" s="4" t="n">
        <v>45957</v>
      </c>
      <c r="C141" s="5" t="inlineStr">
        <is>
          <t>North</t>
        </is>
      </c>
      <c r="D141" s="5" t="inlineStr">
        <is>
          <t>Delhi</t>
        </is>
      </c>
      <c r="E141" s="5" t="inlineStr">
        <is>
          <t>Meena Iyer</t>
        </is>
      </c>
      <c r="F141" s="5" t="inlineStr">
        <is>
          <t>Desk Organizer</t>
        </is>
      </c>
      <c r="G141" s="5" t="inlineStr">
        <is>
          <t>Stationery</t>
        </is>
      </c>
      <c r="H141" s="6" t="n">
        <v>8</v>
      </c>
      <c r="I141" s="7" t="n">
        <v>420</v>
      </c>
      <c r="J141" s="8" t="n">
        <v>0.05</v>
      </c>
      <c r="K141" s="7">
        <f>ROUND(H141*I141*(1-J141),2)</f>
        <v/>
      </c>
      <c r="L141" s="5" t="inlineStr">
        <is>
          <t>Debit Card</t>
        </is>
      </c>
      <c r="M141" s="5" t="inlineStr">
        <is>
          <t>Online</t>
        </is>
      </c>
    </row>
    <row r="142">
      <c r="A142" s="3" t="inlineStr">
        <is>
          <t>ORD-1141</t>
        </is>
      </c>
      <c r="B142" s="4" t="n">
        <v>45957</v>
      </c>
      <c r="C142" s="5" t="inlineStr">
        <is>
          <t>North</t>
        </is>
      </c>
      <c r="D142" s="5" t="inlineStr">
        <is>
          <t>Chandigarh</t>
        </is>
      </c>
      <c r="E142" s="5" t="inlineStr">
        <is>
          <t>Lakshmi Priya</t>
        </is>
      </c>
      <c r="F142" s="5" t="inlineStr">
        <is>
          <t>Desk Organizer</t>
        </is>
      </c>
      <c r="G142" s="5" t="inlineStr">
        <is>
          <t>Stationery</t>
        </is>
      </c>
      <c r="H142" s="6" t="n">
        <v>9</v>
      </c>
      <c r="I142" s="7" t="n">
        <v>420</v>
      </c>
      <c r="J142" s="8" t="n">
        <v>0</v>
      </c>
      <c r="K142" s="7">
        <f>ROUND(H142*I142*(1-J142),2)</f>
        <v/>
      </c>
      <c r="L142" s="5" t="inlineStr">
        <is>
          <t>Credit Card</t>
        </is>
      </c>
      <c r="M142" s="5" t="inlineStr">
        <is>
          <t>In-Store</t>
        </is>
      </c>
    </row>
    <row r="143">
      <c r="A143" s="3" t="inlineStr">
        <is>
          <t>ORD-1142</t>
        </is>
      </c>
      <c r="B143" s="4" t="n">
        <v>45958</v>
      </c>
      <c r="C143" s="5" t="inlineStr">
        <is>
          <t>East</t>
        </is>
      </c>
      <c r="D143" s="5" t="inlineStr">
        <is>
          <t>Bhubaneswar</t>
        </is>
      </c>
      <c r="E143" s="5" t="inlineStr">
        <is>
          <t>Arun Kumar</t>
        </is>
      </c>
      <c r="F143" s="5" t="inlineStr">
        <is>
          <t>Desk Organizer</t>
        </is>
      </c>
      <c r="G143" s="5" t="inlineStr">
        <is>
          <t>Stationery</t>
        </is>
      </c>
      <c r="H143" s="6" t="n">
        <v>18</v>
      </c>
      <c r="I143" s="7" t="n">
        <v>420</v>
      </c>
      <c r="J143" s="8" t="n">
        <v>0.1</v>
      </c>
      <c r="K143" s="7">
        <f>ROUND(H143*I143*(1-J143),2)</f>
        <v/>
      </c>
      <c r="L143" s="5" t="inlineStr">
        <is>
          <t>Cash</t>
        </is>
      </c>
      <c r="M143" s="5" t="inlineStr">
        <is>
          <t>In-Store</t>
        </is>
      </c>
    </row>
    <row r="144">
      <c r="A144" s="3" t="inlineStr">
        <is>
          <t>ORD-1143</t>
        </is>
      </c>
      <c r="B144" s="4" t="n">
        <v>45961</v>
      </c>
      <c r="C144" s="5" t="inlineStr">
        <is>
          <t>East</t>
        </is>
      </c>
      <c r="D144" s="5" t="inlineStr">
        <is>
          <t>Kolkata</t>
        </is>
      </c>
      <c r="E144" s="5" t="inlineStr">
        <is>
          <t>Lakshmi Priya</t>
        </is>
      </c>
      <c r="F144" s="5" t="inlineStr">
        <is>
          <t>Keyboard</t>
        </is>
      </c>
      <c r="G144" s="5" t="inlineStr">
        <is>
          <t>Electronics</t>
        </is>
      </c>
      <c r="H144" s="6" t="n">
        <v>5</v>
      </c>
      <c r="I144" s="7" t="n">
        <v>1200</v>
      </c>
      <c r="J144" s="8" t="n">
        <v>0</v>
      </c>
      <c r="K144" s="7">
        <f>ROUND(H144*I144*(1-J144),2)</f>
        <v/>
      </c>
      <c r="L144" s="5" t="inlineStr">
        <is>
          <t>Net Banking</t>
        </is>
      </c>
      <c r="M144" s="5" t="inlineStr">
        <is>
          <t>Online</t>
        </is>
      </c>
    </row>
    <row r="145">
      <c r="A145" s="3" t="inlineStr">
        <is>
          <t>ORD-1144</t>
        </is>
      </c>
      <c r="B145" s="4" t="n">
        <v>45962</v>
      </c>
      <c r="C145" s="5" t="inlineStr">
        <is>
          <t>East</t>
        </is>
      </c>
      <c r="D145" s="5" t="inlineStr">
        <is>
          <t>Kolkata</t>
        </is>
      </c>
      <c r="E145" s="5" t="inlineStr">
        <is>
          <t>Karthik Raja</t>
        </is>
      </c>
      <c r="F145" s="5" t="inlineStr">
        <is>
          <t>Keyboard</t>
        </is>
      </c>
      <c r="G145" s="5" t="inlineStr">
        <is>
          <t>Electronics</t>
        </is>
      </c>
      <c r="H145" s="6" t="n">
        <v>12</v>
      </c>
      <c r="I145" s="7" t="n">
        <v>1200</v>
      </c>
      <c r="J145" s="8" t="n">
        <v>0</v>
      </c>
      <c r="K145" s="7">
        <f>ROUND(H145*I145*(1-J145),2)</f>
        <v/>
      </c>
      <c r="L145" s="5" t="inlineStr">
        <is>
          <t>Debit Card</t>
        </is>
      </c>
      <c r="M145" s="5" t="inlineStr">
        <is>
          <t>Online</t>
        </is>
      </c>
    </row>
    <row r="146">
      <c r="A146" s="3" t="inlineStr">
        <is>
          <t>ORD-1145</t>
        </is>
      </c>
      <c r="B146" s="4" t="n">
        <v>45965</v>
      </c>
      <c r="C146" s="5" t="inlineStr">
        <is>
          <t>East</t>
        </is>
      </c>
      <c r="D146" s="5" t="inlineStr">
        <is>
          <t>Patna</t>
        </is>
      </c>
      <c r="E146" s="5" t="inlineStr">
        <is>
          <t>Arun Kumar</t>
        </is>
      </c>
      <c r="F146" s="5" t="inlineStr">
        <is>
          <t>Wireless Mouse</t>
        </is>
      </c>
      <c r="G146" s="5" t="inlineStr">
        <is>
          <t>Electronics</t>
        </is>
      </c>
      <c r="H146" s="6" t="n">
        <v>6</v>
      </c>
      <c r="I146" s="7" t="n">
        <v>650</v>
      </c>
      <c r="J146" s="8" t="n">
        <v>0</v>
      </c>
      <c r="K146" s="7">
        <f>ROUND(H146*I146*(1-J146),2)</f>
        <v/>
      </c>
      <c r="L146" s="5" t="inlineStr">
        <is>
          <t>Credit Card</t>
        </is>
      </c>
      <c r="M146" s="5" t="inlineStr">
        <is>
          <t>In-Store</t>
        </is>
      </c>
    </row>
    <row r="147">
      <c r="A147" s="3" t="inlineStr">
        <is>
          <t>ORD-1146</t>
        </is>
      </c>
      <c r="B147" s="4" t="n">
        <v>45965</v>
      </c>
      <c r="C147" s="5" t="inlineStr">
        <is>
          <t>East</t>
        </is>
      </c>
      <c r="D147" s="5" t="inlineStr">
        <is>
          <t>Patna</t>
        </is>
      </c>
      <c r="E147" s="5" t="inlineStr">
        <is>
          <t>Lakshmi Priya</t>
        </is>
      </c>
      <c r="F147" s="5" t="inlineStr">
        <is>
          <t>Laptop Bag</t>
        </is>
      </c>
      <c r="G147" s="5" t="inlineStr">
        <is>
          <t>Accessories</t>
        </is>
      </c>
      <c r="H147" s="6" t="n">
        <v>4</v>
      </c>
      <c r="I147" s="7" t="n">
        <v>1500</v>
      </c>
      <c r="J147" s="8" t="n">
        <v>0</v>
      </c>
      <c r="K147" s="7">
        <f>ROUND(H147*I147*(1-J147),2)</f>
        <v/>
      </c>
      <c r="L147" s="5" t="inlineStr">
        <is>
          <t>Debit Card</t>
        </is>
      </c>
      <c r="M147" s="5" t="inlineStr">
        <is>
          <t>In-Store</t>
        </is>
      </c>
    </row>
    <row r="148">
      <c r="A148" s="3" t="inlineStr">
        <is>
          <t>ORD-1147</t>
        </is>
      </c>
      <c r="B148" s="4" t="n">
        <v>45966</v>
      </c>
      <c r="C148" s="5" t="inlineStr">
        <is>
          <t>North</t>
        </is>
      </c>
      <c r="D148" s="5" t="inlineStr">
        <is>
          <t>Jaipur</t>
        </is>
      </c>
      <c r="E148" s="5" t="inlineStr">
        <is>
          <t>Lakshmi Priya</t>
        </is>
      </c>
      <c r="F148" s="5" t="inlineStr">
        <is>
          <t>Study Table</t>
        </is>
      </c>
      <c r="G148" s="5" t="inlineStr">
        <is>
          <t>Furniture</t>
        </is>
      </c>
      <c r="H148" s="6" t="n">
        <v>1</v>
      </c>
      <c r="I148" s="7" t="n">
        <v>7200</v>
      </c>
      <c r="J148" s="8" t="n">
        <v>0.1</v>
      </c>
      <c r="K148" s="7">
        <f>ROUND(H148*I148*(1-J148),2)</f>
        <v/>
      </c>
      <c r="L148" s="5" t="inlineStr">
        <is>
          <t>Credit Card</t>
        </is>
      </c>
      <c r="M148" s="5" t="inlineStr">
        <is>
          <t>Phone Order</t>
        </is>
      </c>
    </row>
    <row r="149">
      <c r="A149" s="3" t="inlineStr">
        <is>
          <t>ORD-1148</t>
        </is>
      </c>
      <c r="B149" s="4" t="n">
        <v>45967</v>
      </c>
      <c r="C149" s="5" t="inlineStr">
        <is>
          <t>East</t>
        </is>
      </c>
      <c r="D149" s="5" t="inlineStr">
        <is>
          <t>Bhubaneswar</t>
        </is>
      </c>
      <c r="E149" s="5" t="inlineStr">
        <is>
          <t>Suresh Babu</t>
        </is>
      </c>
      <c r="F149" s="5" t="inlineStr">
        <is>
          <t>Keyboard</t>
        </is>
      </c>
      <c r="G149" s="5" t="inlineStr">
        <is>
          <t>Electronics</t>
        </is>
      </c>
      <c r="H149" s="6" t="n">
        <v>11</v>
      </c>
      <c r="I149" s="7" t="n">
        <v>1200</v>
      </c>
      <c r="J149" s="8" t="n">
        <v>0.15</v>
      </c>
      <c r="K149" s="7">
        <f>ROUND(H149*I149*(1-J149),2)</f>
        <v/>
      </c>
      <c r="L149" s="5" t="inlineStr">
        <is>
          <t>UPI</t>
        </is>
      </c>
      <c r="M149" s="5" t="inlineStr">
        <is>
          <t>Phone Order</t>
        </is>
      </c>
    </row>
    <row r="150">
      <c r="A150" s="3" t="inlineStr">
        <is>
          <t>ORD-1149</t>
        </is>
      </c>
      <c r="B150" s="4" t="n">
        <v>45969</v>
      </c>
      <c r="C150" s="5" t="inlineStr">
        <is>
          <t>West</t>
        </is>
      </c>
      <c r="D150" s="5" t="inlineStr">
        <is>
          <t>Pune</t>
        </is>
      </c>
      <c r="E150" s="5" t="inlineStr">
        <is>
          <t>Arun Kumar</t>
        </is>
      </c>
      <c r="F150" s="5" t="inlineStr">
        <is>
          <t>Headphones</t>
        </is>
      </c>
      <c r="G150" s="5" t="inlineStr">
        <is>
          <t>Electronics</t>
        </is>
      </c>
      <c r="H150" s="6" t="n">
        <v>5</v>
      </c>
      <c r="I150" s="7" t="n">
        <v>1800</v>
      </c>
      <c r="J150" s="8" t="n">
        <v>0</v>
      </c>
      <c r="K150" s="7">
        <f>ROUND(H150*I150*(1-J150),2)</f>
        <v/>
      </c>
      <c r="L150" s="5" t="inlineStr">
        <is>
          <t>Net Banking</t>
        </is>
      </c>
      <c r="M150" s="5" t="inlineStr">
        <is>
          <t>Phone Order</t>
        </is>
      </c>
    </row>
    <row r="151">
      <c r="A151" s="3" t="inlineStr">
        <is>
          <t>ORD-1150</t>
        </is>
      </c>
      <c r="B151" s="4" t="n">
        <v>45970</v>
      </c>
      <c r="C151" s="5" t="inlineStr">
        <is>
          <t>North</t>
        </is>
      </c>
      <c r="D151" s="5" t="inlineStr">
        <is>
          <t>Delhi</t>
        </is>
      </c>
      <c r="E151" s="5" t="inlineStr">
        <is>
          <t>Karthik Raja</t>
        </is>
      </c>
      <c r="F151" s="5" t="inlineStr">
        <is>
          <t>Headphones</t>
        </is>
      </c>
      <c r="G151" s="5" t="inlineStr">
        <is>
          <t>Electronics</t>
        </is>
      </c>
      <c r="H151" s="6" t="n">
        <v>4</v>
      </c>
      <c r="I151" s="7" t="n">
        <v>1800</v>
      </c>
      <c r="J151" s="8" t="n">
        <v>0.1</v>
      </c>
      <c r="K151" s="7">
        <f>ROUND(H151*I151*(1-J151),2)</f>
        <v/>
      </c>
      <c r="L151" s="5" t="inlineStr">
        <is>
          <t>Net Banking</t>
        </is>
      </c>
      <c r="M151" s="5" t="inlineStr">
        <is>
          <t>Online</t>
        </is>
      </c>
    </row>
    <row r="152">
      <c r="A152" s="3" t="inlineStr">
        <is>
          <t>ORD-1151</t>
        </is>
      </c>
      <c r="B152" s="4" t="n">
        <v>45970</v>
      </c>
      <c r="C152" s="5" t="inlineStr">
        <is>
          <t>East</t>
        </is>
      </c>
      <c r="D152" s="5" t="inlineStr">
        <is>
          <t>Patna</t>
        </is>
      </c>
      <c r="E152" s="5" t="inlineStr">
        <is>
          <t>Divya Nair</t>
        </is>
      </c>
      <c r="F152" s="5" t="inlineStr">
        <is>
          <t>Office Chair</t>
        </is>
      </c>
      <c r="G152" s="5" t="inlineStr">
        <is>
          <t>Furniture</t>
        </is>
      </c>
      <c r="H152" s="6" t="n">
        <v>3</v>
      </c>
      <c r="I152" s="7" t="n">
        <v>5500</v>
      </c>
      <c r="J152" s="8" t="n">
        <v>0.15</v>
      </c>
      <c r="K152" s="7">
        <f>ROUND(H152*I152*(1-J152),2)</f>
        <v/>
      </c>
      <c r="L152" s="5" t="inlineStr">
        <is>
          <t>UPI</t>
        </is>
      </c>
      <c r="M152" s="5" t="inlineStr">
        <is>
          <t>Phone Order</t>
        </is>
      </c>
    </row>
    <row r="153">
      <c r="A153" s="3" t="inlineStr">
        <is>
          <t>ORD-1152</t>
        </is>
      </c>
      <c r="B153" s="4" t="n">
        <v>45975</v>
      </c>
      <c r="C153" s="5" t="inlineStr">
        <is>
          <t>North</t>
        </is>
      </c>
      <c r="D153" s="5" t="inlineStr">
        <is>
          <t>Jaipur</t>
        </is>
      </c>
      <c r="E153" s="5" t="inlineStr">
        <is>
          <t>Suresh Babu</t>
        </is>
      </c>
      <c r="F153" s="5" t="inlineStr">
        <is>
          <t>Study Table</t>
        </is>
      </c>
      <c r="G153" s="5" t="inlineStr">
        <is>
          <t>Furniture</t>
        </is>
      </c>
      <c r="H153" s="6" t="n">
        <v>1</v>
      </c>
      <c r="I153" s="7" t="n">
        <v>7200</v>
      </c>
      <c r="J153" s="8" t="n">
        <v>0.1</v>
      </c>
      <c r="K153" s="7">
        <f>ROUND(H153*I153*(1-J153),2)</f>
        <v/>
      </c>
      <c r="L153" s="5" t="inlineStr">
        <is>
          <t>Net Banking</t>
        </is>
      </c>
      <c r="M153" s="5" t="inlineStr">
        <is>
          <t>Phone Order</t>
        </is>
      </c>
    </row>
    <row r="154">
      <c r="A154" s="3" t="inlineStr">
        <is>
          <t>ORD-1153</t>
        </is>
      </c>
      <c r="B154" s="4" t="n">
        <v>45976</v>
      </c>
      <c r="C154" s="5" t="inlineStr">
        <is>
          <t>Central</t>
        </is>
      </c>
      <c r="D154" s="5" t="inlineStr">
        <is>
          <t>Indore</t>
        </is>
      </c>
      <c r="E154" s="5" t="inlineStr">
        <is>
          <t>Meena Iyer</t>
        </is>
      </c>
      <c r="F154" s="5" t="inlineStr">
        <is>
          <t>Desk Organizer</t>
        </is>
      </c>
      <c r="G154" s="5" t="inlineStr">
        <is>
          <t>Stationery</t>
        </is>
      </c>
      <c r="H154" s="6" t="n">
        <v>2</v>
      </c>
      <c r="I154" s="7" t="n">
        <v>420</v>
      </c>
      <c r="J154" s="8" t="n">
        <v>0.05</v>
      </c>
      <c r="K154" s="7">
        <f>ROUND(H154*I154*(1-J154),2)</f>
        <v/>
      </c>
      <c r="L154" s="5" t="inlineStr">
        <is>
          <t>Credit Card</t>
        </is>
      </c>
      <c r="M154" s="5" t="inlineStr">
        <is>
          <t>Online</t>
        </is>
      </c>
    </row>
    <row r="155">
      <c r="A155" s="3" t="inlineStr">
        <is>
          <t>ORD-1154</t>
        </is>
      </c>
      <c r="B155" s="4" t="n">
        <v>45977</v>
      </c>
      <c r="C155" s="5" t="inlineStr">
        <is>
          <t>North</t>
        </is>
      </c>
      <c r="D155" s="5" t="inlineStr">
        <is>
          <t>Jaipur</t>
        </is>
      </c>
      <c r="E155" s="5" t="inlineStr">
        <is>
          <t>Karthik Raja</t>
        </is>
      </c>
      <c r="F155" s="5" t="inlineStr">
        <is>
          <t>Bluetooth Speaker</t>
        </is>
      </c>
      <c r="G155" s="5" t="inlineStr">
        <is>
          <t>Electronics</t>
        </is>
      </c>
      <c r="H155" s="6" t="n">
        <v>4</v>
      </c>
      <c r="I155" s="7" t="n">
        <v>2200</v>
      </c>
      <c r="J155" s="8" t="n">
        <v>0.15</v>
      </c>
      <c r="K155" s="7">
        <f>ROUND(H155*I155*(1-J155),2)</f>
        <v/>
      </c>
      <c r="L155" s="5" t="inlineStr">
        <is>
          <t>Debit Card</t>
        </is>
      </c>
      <c r="M155" s="5" t="inlineStr">
        <is>
          <t>In-Store</t>
        </is>
      </c>
    </row>
    <row r="156">
      <c r="A156" s="3" t="inlineStr">
        <is>
          <t>ORD-1155</t>
        </is>
      </c>
      <c r="B156" s="4" t="n">
        <v>45978</v>
      </c>
      <c r="C156" s="5" t="inlineStr">
        <is>
          <t>South</t>
        </is>
      </c>
      <c r="D156" s="5" t="inlineStr">
        <is>
          <t>Chennai</t>
        </is>
      </c>
      <c r="E156" s="5" t="inlineStr">
        <is>
          <t>Arun Kumar</t>
        </is>
      </c>
      <c r="F156" s="5" t="inlineStr">
        <is>
          <t>Bookshelf</t>
        </is>
      </c>
      <c r="G156" s="5" t="inlineStr">
        <is>
          <t>Furniture</t>
        </is>
      </c>
      <c r="H156" s="6" t="n">
        <v>2</v>
      </c>
      <c r="I156" s="7" t="n">
        <v>4800</v>
      </c>
      <c r="J156" s="8" t="n">
        <v>0.1</v>
      </c>
      <c r="K156" s="7">
        <f>ROUND(H156*I156*(1-J156),2)</f>
        <v/>
      </c>
      <c r="L156" s="5" t="inlineStr">
        <is>
          <t>Net Banking</t>
        </is>
      </c>
      <c r="M156" s="5" t="inlineStr">
        <is>
          <t>Online</t>
        </is>
      </c>
    </row>
    <row r="157">
      <c r="A157" s="3" t="inlineStr">
        <is>
          <t>ORD-1156</t>
        </is>
      </c>
      <c r="B157" s="4" t="n">
        <v>45978</v>
      </c>
      <c r="C157" s="5" t="inlineStr">
        <is>
          <t>East</t>
        </is>
      </c>
      <c r="D157" s="5" t="inlineStr">
        <is>
          <t>Bhubaneswar</t>
        </is>
      </c>
      <c r="E157" s="5" t="inlineStr">
        <is>
          <t>Suresh Babu</t>
        </is>
      </c>
      <c r="F157" s="5" t="inlineStr">
        <is>
          <t>Laptop Bag</t>
        </is>
      </c>
      <c r="G157" s="5" t="inlineStr">
        <is>
          <t>Accessories</t>
        </is>
      </c>
      <c r="H157" s="6" t="n">
        <v>10</v>
      </c>
      <c r="I157" s="7" t="n">
        <v>1500</v>
      </c>
      <c r="J157" s="8" t="n">
        <v>0</v>
      </c>
      <c r="K157" s="7">
        <f>ROUND(H157*I157*(1-J157),2)</f>
        <v/>
      </c>
      <c r="L157" s="5" t="inlineStr">
        <is>
          <t>Cash</t>
        </is>
      </c>
      <c r="M157" s="5" t="inlineStr">
        <is>
          <t>Phone Order</t>
        </is>
      </c>
    </row>
    <row r="158">
      <c r="A158" s="3" t="inlineStr">
        <is>
          <t>ORD-1157</t>
        </is>
      </c>
      <c r="B158" s="4" t="n">
        <v>45980</v>
      </c>
      <c r="C158" s="5" t="inlineStr">
        <is>
          <t>South</t>
        </is>
      </c>
      <c r="D158" s="5" t="inlineStr">
        <is>
          <t>Bengaluru</t>
        </is>
      </c>
      <c r="E158" s="5" t="inlineStr">
        <is>
          <t>Meena Iyer</t>
        </is>
      </c>
      <c r="F158" s="5" t="inlineStr">
        <is>
          <t>Phone Stand</t>
        </is>
      </c>
      <c r="G158" s="5" t="inlineStr">
        <is>
          <t>Accessories</t>
        </is>
      </c>
      <c r="H158" s="6" t="n">
        <v>19</v>
      </c>
      <c r="I158" s="7" t="n">
        <v>350</v>
      </c>
      <c r="J158" s="8" t="n">
        <v>0</v>
      </c>
      <c r="K158" s="7">
        <f>ROUND(H158*I158*(1-J158),2)</f>
        <v/>
      </c>
      <c r="L158" s="5" t="inlineStr">
        <is>
          <t>Cash</t>
        </is>
      </c>
      <c r="M158" s="5" t="inlineStr">
        <is>
          <t>In-Store</t>
        </is>
      </c>
    </row>
    <row r="159">
      <c r="A159" s="3" t="inlineStr">
        <is>
          <t>ORD-1158</t>
        </is>
      </c>
      <c r="B159" s="4" t="n">
        <v>45983</v>
      </c>
      <c r="C159" s="5" t="inlineStr">
        <is>
          <t>Central</t>
        </is>
      </c>
      <c r="D159" s="5" t="inlineStr">
        <is>
          <t>Indore</t>
        </is>
      </c>
      <c r="E159" s="5" t="inlineStr">
        <is>
          <t>Meena Iyer</t>
        </is>
      </c>
      <c r="F159" s="5" t="inlineStr">
        <is>
          <t>Bookshelf</t>
        </is>
      </c>
      <c r="G159" s="5" t="inlineStr">
        <is>
          <t>Furniture</t>
        </is>
      </c>
      <c r="H159" s="6" t="n">
        <v>2</v>
      </c>
      <c r="I159" s="7" t="n">
        <v>4800</v>
      </c>
      <c r="J159" s="8" t="n">
        <v>0.1</v>
      </c>
      <c r="K159" s="7">
        <f>ROUND(H159*I159*(1-J159),2)</f>
        <v/>
      </c>
      <c r="L159" s="5" t="inlineStr">
        <is>
          <t>UPI</t>
        </is>
      </c>
      <c r="M159" s="5" t="inlineStr">
        <is>
          <t>Phone Order</t>
        </is>
      </c>
    </row>
    <row r="160">
      <c r="A160" s="3" t="inlineStr">
        <is>
          <t>ORD-1159</t>
        </is>
      </c>
      <c r="B160" s="4" t="n">
        <v>45985</v>
      </c>
      <c r="C160" s="5" t="inlineStr">
        <is>
          <t>West</t>
        </is>
      </c>
      <c r="D160" s="5" t="inlineStr">
        <is>
          <t>Mumbai</t>
        </is>
      </c>
      <c r="E160" s="5" t="inlineStr">
        <is>
          <t>Lakshmi Priya</t>
        </is>
      </c>
      <c r="F160" s="5" t="inlineStr">
        <is>
          <t>Keyboard</t>
        </is>
      </c>
      <c r="G160" s="5" t="inlineStr">
        <is>
          <t>Electronics</t>
        </is>
      </c>
      <c r="H160" s="6" t="n">
        <v>8</v>
      </c>
      <c r="I160" s="7" t="n">
        <v>1200</v>
      </c>
      <c r="J160" s="8" t="n">
        <v>0</v>
      </c>
      <c r="K160" s="7">
        <f>ROUND(H160*I160*(1-J160),2)</f>
        <v/>
      </c>
      <c r="L160" s="5" t="inlineStr">
        <is>
          <t>Cash</t>
        </is>
      </c>
      <c r="M160" s="5" t="inlineStr">
        <is>
          <t>Online</t>
        </is>
      </c>
    </row>
    <row r="161">
      <c r="A161" s="3" t="inlineStr">
        <is>
          <t>ORD-1160</t>
        </is>
      </c>
      <c r="B161" s="4" t="n">
        <v>45985</v>
      </c>
      <c r="C161" s="5" t="inlineStr">
        <is>
          <t>North</t>
        </is>
      </c>
      <c r="D161" s="5" t="inlineStr">
        <is>
          <t>Jaipur</t>
        </is>
      </c>
      <c r="E161" s="5" t="inlineStr">
        <is>
          <t>Suresh Babu</t>
        </is>
      </c>
      <c r="F161" s="5" t="inlineStr">
        <is>
          <t>Bluetooth Speaker</t>
        </is>
      </c>
      <c r="G161" s="5" t="inlineStr">
        <is>
          <t>Electronics</t>
        </is>
      </c>
      <c r="H161" s="6" t="n">
        <v>6</v>
      </c>
      <c r="I161" s="7" t="n">
        <v>2200</v>
      </c>
      <c r="J161" s="8" t="n">
        <v>0.05</v>
      </c>
      <c r="K161" s="7">
        <f>ROUND(H161*I161*(1-J161),2)</f>
        <v/>
      </c>
      <c r="L161" s="5" t="inlineStr">
        <is>
          <t>Debit Card</t>
        </is>
      </c>
      <c r="M161" s="5" t="inlineStr">
        <is>
          <t>In-Store</t>
        </is>
      </c>
    </row>
    <row r="162">
      <c r="A162" s="3" t="inlineStr">
        <is>
          <t>ORD-1161</t>
        </is>
      </c>
      <c r="B162" s="4" t="n">
        <v>45986</v>
      </c>
      <c r="C162" s="5" t="inlineStr">
        <is>
          <t>South</t>
        </is>
      </c>
      <c r="D162" s="5" t="inlineStr">
        <is>
          <t>Hyderabad</t>
        </is>
      </c>
      <c r="E162" s="5" t="inlineStr">
        <is>
          <t>Divya Nair</t>
        </is>
      </c>
      <c r="F162" s="5" t="inlineStr">
        <is>
          <t>Headphones</t>
        </is>
      </c>
      <c r="G162" s="5" t="inlineStr">
        <is>
          <t>Electronics</t>
        </is>
      </c>
      <c r="H162" s="6" t="n">
        <v>2</v>
      </c>
      <c r="I162" s="7" t="n">
        <v>1800</v>
      </c>
      <c r="J162" s="8" t="n">
        <v>0.1</v>
      </c>
      <c r="K162" s="7">
        <f>ROUND(H162*I162*(1-J162),2)</f>
        <v/>
      </c>
      <c r="L162" s="5" t="inlineStr">
        <is>
          <t>Cash</t>
        </is>
      </c>
      <c r="M162" s="5" t="inlineStr">
        <is>
          <t>Online</t>
        </is>
      </c>
    </row>
    <row r="163">
      <c r="A163" s="3" t="inlineStr">
        <is>
          <t>ORD-1162</t>
        </is>
      </c>
      <c r="B163" s="4" t="n">
        <v>45986</v>
      </c>
      <c r="C163" s="5" t="inlineStr">
        <is>
          <t>East</t>
        </is>
      </c>
      <c r="D163" s="5" t="inlineStr">
        <is>
          <t>Bhubaneswar</t>
        </is>
      </c>
      <c r="E163" s="5" t="inlineStr">
        <is>
          <t>Lakshmi Priya</t>
        </is>
      </c>
      <c r="F163" s="5" t="inlineStr">
        <is>
          <t>Phone Stand</t>
        </is>
      </c>
      <c r="G163" s="5" t="inlineStr">
        <is>
          <t>Accessories</t>
        </is>
      </c>
      <c r="H163" s="6" t="n">
        <v>13</v>
      </c>
      <c r="I163" s="7" t="n">
        <v>350</v>
      </c>
      <c r="J163" s="8" t="n">
        <v>0.05</v>
      </c>
      <c r="K163" s="7">
        <f>ROUND(H163*I163*(1-J163),2)</f>
        <v/>
      </c>
      <c r="L163" s="5" t="inlineStr">
        <is>
          <t>Cash</t>
        </is>
      </c>
      <c r="M163" s="5" t="inlineStr">
        <is>
          <t>Phone Order</t>
        </is>
      </c>
    </row>
    <row r="164">
      <c r="A164" s="3" t="inlineStr">
        <is>
          <t>ORD-1163</t>
        </is>
      </c>
      <c r="B164" s="4" t="n">
        <v>45987</v>
      </c>
      <c r="C164" s="5" t="inlineStr">
        <is>
          <t>West</t>
        </is>
      </c>
      <c r="D164" s="5" t="inlineStr">
        <is>
          <t>Pune</t>
        </is>
      </c>
      <c r="E164" s="5" t="inlineStr">
        <is>
          <t>Karthik Raja</t>
        </is>
      </c>
      <c r="F164" s="5" t="inlineStr">
        <is>
          <t>Bookshelf</t>
        </is>
      </c>
      <c r="G164" s="5" t="inlineStr">
        <is>
          <t>Furniture</t>
        </is>
      </c>
      <c r="H164" s="6" t="n">
        <v>2</v>
      </c>
      <c r="I164" s="7" t="n">
        <v>4800</v>
      </c>
      <c r="J164" s="8" t="n">
        <v>0.05</v>
      </c>
      <c r="K164" s="7">
        <f>ROUND(H164*I164*(1-J164),2)</f>
        <v/>
      </c>
      <c r="L164" s="5" t="inlineStr">
        <is>
          <t>UPI</t>
        </is>
      </c>
      <c r="M164" s="5" t="inlineStr">
        <is>
          <t>Phone Order</t>
        </is>
      </c>
    </row>
    <row r="165">
      <c r="A165" s="3" t="inlineStr">
        <is>
          <t>ORD-1164</t>
        </is>
      </c>
      <c r="B165" s="4" t="n">
        <v>45987</v>
      </c>
      <c r="C165" s="5" t="inlineStr">
        <is>
          <t>South</t>
        </is>
      </c>
      <c r="D165" s="5" t="inlineStr">
        <is>
          <t>Hyderabad</t>
        </is>
      </c>
      <c r="E165" s="5" t="inlineStr">
        <is>
          <t>Arun Kumar</t>
        </is>
      </c>
      <c r="F165" s="5" t="inlineStr">
        <is>
          <t>Desk Organizer</t>
        </is>
      </c>
      <c r="G165" s="5" t="inlineStr">
        <is>
          <t>Stationery</t>
        </is>
      </c>
      <c r="H165" s="6" t="n">
        <v>18</v>
      </c>
      <c r="I165" s="7" t="n">
        <v>420</v>
      </c>
      <c r="J165" s="8" t="n">
        <v>0</v>
      </c>
      <c r="K165" s="7">
        <f>ROUND(H165*I165*(1-J165),2)</f>
        <v/>
      </c>
      <c r="L165" s="5" t="inlineStr">
        <is>
          <t>Debit Card</t>
        </is>
      </c>
      <c r="M165" s="5" t="inlineStr">
        <is>
          <t>Phone Order</t>
        </is>
      </c>
    </row>
    <row r="166">
      <c r="A166" s="3" t="inlineStr">
        <is>
          <t>ORD-1165</t>
        </is>
      </c>
      <c r="B166" s="4" t="n">
        <v>45994</v>
      </c>
      <c r="C166" s="5" t="inlineStr">
        <is>
          <t>North</t>
        </is>
      </c>
      <c r="D166" s="5" t="inlineStr">
        <is>
          <t>Jaipur</t>
        </is>
      </c>
      <c r="E166" s="5" t="inlineStr">
        <is>
          <t>Lakshmi Priya</t>
        </is>
      </c>
      <c r="F166" s="5" t="inlineStr">
        <is>
          <t>Bluetooth Speaker</t>
        </is>
      </c>
      <c r="G166" s="5" t="inlineStr">
        <is>
          <t>Electronics</t>
        </is>
      </c>
      <c r="H166" s="6" t="n">
        <v>8</v>
      </c>
      <c r="I166" s="7" t="n">
        <v>2200</v>
      </c>
      <c r="J166" s="8" t="n">
        <v>0.1</v>
      </c>
      <c r="K166" s="7">
        <f>ROUND(H166*I166*(1-J166),2)</f>
        <v/>
      </c>
      <c r="L166" s="5" t="inlineStr">
        <is>
          <t>Cash</t>
        </is>
      </c>
      <c r="M166" s="5" t="inlineStr">
        <is>
          <t>Phone Order</t>
        </is>
      </c>
    </row>
    <row r="167">
      <c r="A167" s="3" t="inlineStr">
        <is>
          <t>ORD-1166</t>
        </is>
      </c>
      <c r="B167" s="4" t="n">
        <v>45997</v>
      </c>
      <c r="C167" s="5" t="inlineStr">
        <is>
          <t>North</t>
        </is>
      </c>
      <c r="D167" s="5" t="inlineStr">
        <is>
          <t>Chandigarh</t>
        </is>
      </c>
      <c r="E167" s="5" t="inlineStr">
        <is>
          <t>Meena Iyer</t>
        </is>
      </c>
      <c r="F167" s="5" t="inlineStr">
        <is>
          <t>Headphones</t>
        </is>
      </c>
      <c r="G167" s="5" t="inlineStr">
        <is>
          <t>Electronics</t>
        </is>
      </c>
      <c r="H167" s="6" t="n">
        <v>7</v>
      </c>
      <c r="I167" s="7" t="n">
        <v>1800</v>
      </c>
      <c r="J167" s="8" t="n">
        <v>0</v>
      </c>
      <c r="K167" s="7">
        <f>ROUND(H167*I167*(1-J167),2)</f>
        <v/>
      </c>
      <c r="L167" s="5" t="inlineStr">
        <is>
          <t>Credit Card</t>
        </is>
      </c>
      <c r="M167" s="5" t="inlineStr">
        <is>
          <t>Online</t>
        </is>
      </c>
    </row>
    <row r="168">
      <c r="A168" s="3" t="inlineStr">
        <is>
          <t>ORD-1167</t>
        </is>
      </c>
      <c r="B168" s="4" t="n">
        <v>45997</v>
      </c>
      <c r="C168" s="5" t="inlineStr">
        <is>
          <t>South</t>
        </is>
      </c>
      <c r="D168" s="5" t="inlineStr">
        <is>
          <t>Bengaluru</t>
        </is>
      </c>
      <c r="E168" s="5" t="inlineStr">
        <is>
          <t>Lakshmi Priya</t>
        </is>
      </c>
      <c r="F168" s="5" t="inlineStr">
        <is>
          <t>Study Table</t>
        </is>
      </c>
      <c r="G168" s="5" t="inlineStr">
        <is>
          <t>Furniture</t>
        </is>
      </c>
      <c r="H168" s="6" t="n">
        <v>3</v>
      </c>
      <c r="I168" s="7" t="n">
        <v>7200</v>
      </c>
      <c r="J168" s="8" t="n">
        <v>0.05</v>
      </c>
      <c r="K168" s="7">
        <f>ROUND(H168*I168*(1-J168),2)</f>
        <v/>
      </c>
      <c r="L168" s="5" t="inlineStr">
        <is>
          <t>UPI</t>
        </is>
      </c>
      <c r="M168" s="5" t="inlineStr">
        <is>
          <t>Phone Order</t>
        </is>
      </c>
    </row>
    <row r="169">
      <c r="A169" s="3" t="inlineStr">
        <is>
          <t>ORD-1168</t>
        </is>
      </c>
      <c r="B169" s="4" t="n">
        <v>45997</v>
      </c>
      <c r="C169" s="5" t="inlineStr">
        <is>
          <t>West</t>
        </is>
      </c>
      <c r="D169" s="5" t="inlineStr">
        <is>
          <t>Pune</t>
        </is>
      </c>
      <c r="E169" s="5" t="inlineStr">
        <is>
          <t>Meena Iyer</t>
        </is>
      </c>
      <c r="F169" s="5" t="inlineStr">
        <is>
          <t>Notebook Pack</t>
        </is>
      </c>
      <c r="G169" s="5" t="inlineStr">
        <is>
          <t>Stationery</t>
        </is>
      </c>
      <c r="H169" s="6" t="n">
        <v>17</v>
      </c>
      <c r="I169" s="7" t="n">
        <v>250</v>
      </c>
      <c r="J169" s="8" t="n">
        <v>0.1</v>
      </c>
      <c r="K169" s="7">
        <f>ROUND(H169*I169*(1-J169),2)</f>
        <v/>
      </c>
      <c r="L169" s="5" t="inlineStr">
        <is>
          <t>UPI</t>
        </is>
      </c>
      <c r="M169" s="5" t="inlineStr">
        <is>
          <t>Phone Order</t>
        </is>
      </c>
    </row>
    <row r="170">
      <c r="A170" s="3" t="inlineStr">
        <is>
          <t>ORD-1169</t>
        </is>
      </c>
      <c r="B170" s="4" t="n">
        <v>45999</v>
      </c>
      <c r="C170" s="5" t="inlineStr">
        <is>
          <t>North</t>
        </is>
      </c>
      <c r="D170" s="5" t="inlineStr">
        <is>
          <t>Jaipur</t>
        </is>
      </c>
      <c r="E170" s="5" t="inlineStr">
        <is>
          <t>Divya Nair</t>
        </is>
      </c>
      <c r="F170" s="5" t="inlineStr">
        <is>
          <t>Notebook Pack</t>
        </is>
      </c>
      <c r="G170" s="5" t="inlineStr">
        <is>
          <t>Stationery</t>
        </is>
      </c>
      <c r="H170" s="6" t="n">
        <v>22</v>
      </c>
      <c r="I170" s="7" t="n">
        <v>250</v>
      </c>
      <c r="J170" s="8" t="n">
        <v>0</v>
      </c>
      <c r="K170" s="7">
        <f>ROUND(H170*I170*(1-J170),2)</f>
        <v/>
      </c>
      <c r="L170" s="5" t="inlineStr">
        <is>
          <t>Cash</t>
        </is>
      </c>
      <c r="M170" s="5" t="inlineStr">
        <is>
          <t>In-Store</t>
        </is>
      </c>
    </row>
    <row r="171">
      <c r="A171" s="3" t="inlineStr">
        <is>
          <t>ORD-1170</t>
        </is>
      </c>
      <c r="B171" s="4" t="n">
        <v>45999</v>
      </c>
      <c r="C171" s="5" t="inlineStr">
        <is>
          <t>West</t>
        </is>
      </c>
      <c r="D171" s="5" t="inlineStr">
        <is>
          <t>Mumbai</t>
        </is>
      </c>
      <c r="E171" s="5" t="inlineStr">
        <is>
          <t>Divya Nair</t>
        </is>
      </c>
      <c r="F171" s="5" t="inlineStr">
        <is>
          <t>Wireless Mouse</t>
        </is>
      </c>
      <c r="G171" s="5" t="inlineStr">
        <is>
          <t>Electronics</t>
        </is>
      </c>
      <c r="H171" s="6" t="n">
        <v>11</v>
      </c>
      <c r="I171" s="7" t="n">
        <v>650</v>
      </c>
      <c r="J171" s="8" t="n">
        <v>0</v>
      </c>
      <c r="K171" s="7">
        <f>ROUND(H171*I171*(1-J171),2)</f>
        <v/>
      </c>
      <c r="L171" s="5" t="inlineStr">
        <is>
          <t>UPI</t>
        </is>
      </c>
      <c r="M171" s="5" t="inlineStr">
        <is>
          <t>In-Store</t>
        </is>
      </c>
    </row>
    <row r="172">
      <c r="A172" s="3" t="inlineStr">
        <is>
          <t>ORD-1171</t>
        </is>
      </c>
      <c r="B172" s="4" t="n">
        <v>46000</v>
      </c>
      <c r="C172" s="5" t="inlineStr">
        <is>
          <t>Central</t>
        </is>
      </c>
      <c r="D172" s="5" t="inlineStr">
        <is>
          <t>Nagpur</t>
        </is>
      </c>
      <c r="E172" s="5" t="inlineStr">
        <is>
          <t>Karthik Raja</t>
        </is>
      </c>
      <c r="F172" s="5" t="inlineStr">
        <is>
          <t>Bluetooth Speaker</t>
        </is>
      </c>
      <c r="G172" s="5" t="inlineStr">
        <is>
          <t>Electronics</t>
        </is>
      </c>
      <c r="H172" s="6" t="n">
        <v>3</v>
      </c>
      <c r="I172" s="7" t="n">
        <v>2200</v>
      </c>
      <c r="J172" s="8" t="n">
        <v>0</v>
      </c>
      <c r="K172" s="7">
        <f>ROUND(H172*I172*(1-J172),2)</f>
        <v/>
      </c>
      <c r="L172" s="5" t="inlineStr">
        <is>
          <t>Cash</t>
        </is>
      </c>
      <c r="M172" s="5" t="inlineStr">
        <is>
          <t>In-Store</t>
        </is>
      </c>
    </row>
    <row r="173">
      <c r="A173" s="3" t="inlineStr">
        <is>
          <t>ORD-1172</t>
        </is>
      </c>
      <c r="B173" s="4" t="n">
        <v>46000</v>
      </c>
      <c r="C173" s="5" t="inlineStr">
        <is>
          <t>West</t>
        </is>
      </c>
      <c r="D173" s="5" t="inlineStr">
        <is>
          <t>Ahmedabad</t>
        </is>
      </c>
      <c r="E173" s="5" t="inlineStr">
        <is>
          <t>Suresh Babu</t>
        </is>
      </c>
      <c r="F173" s="5" t="inlineStr">
        <is>
          <t>Phone Stand</t>
        </is>
      </c>
      <c r="G173" s="5" t="inlineStr">
        <is>
          <t>Accessories</t>
        </is>
      </c>
      <c r="H173" s="6" t="n">
        <v>25</v>
      </c>
      <c r="I173" s="7" t="n">
        <v>350</v>
      </c>
      <c r="J173" s="8" t="n">
        <v>0.05</v>
      </c>
      <c r="K173" s="7">
        <f>ROUND(H173*I173*(1-J173),2)</f>
        <v/>
      </c>
      <c r="L173" s="5" t="inlineStr">
        <is>
          <t>UPI</t>
        </is>
      </c>
      <c r="M173" s="5" t="inlineStr">
        <is>
          <t>Online</t>
        </is>
      </c>
    </row>
    <row r="174">
      <c r="A174" s="3" t="inlineStr">
        <is>
          <t>ORD-1173</t>
        </is>
      </c>
      <c r="B174" s="4" t="n">
        <v>46001</v>
      </c>
      <c r="C174" s="5" t="inlineStr">
        <is>
          <t>Central</t>
        </is>
      </c>
      <c r="D174" s="5" t="inlineStr">
        <is>
          <t>Bhopal</t>
        </is>
      </c>
      <c r="E174" s="5" t="inlineStr">
        <is>
          <t>Karthik Raja</t>
        </is>
      </c>
      <c r="F174" s="5" t="inlineStr">
        <is>
          <t>Bookshelf</t>
        </is>
      </c>
      <c r="G174" s="5" t="inlineStr">
        <is>
          <t>Furniture</t>
        </is>
      </c>
      <c r="H174" s="6" t="n">
        <v>1</v>
      </c>
      <c r="I174" s="7" t="n">
        <v>4800</v>
      </c>
      <c r="J174" s="8" t="n">
        <v>0</v>
      </c>
      <c r="K174" s="7">
        <f>ROUND(H174*I174*(1-J174),2)</f>
        <v/>
      </c>
      <c r="L174" s="5" t="inlineStr">
        <is>
          <t>Credit Card</t>
        </is>
      </c>
      <c r="M174" s="5" t="inlineStr">
        <is>
          <t>Online</t>
        </is>
      </c>
    </row>
    <row r="175">
      <c r="A175" s="3" t="inlineStr">
        <is>
          <t>ORD-1174</t>
        </is>
      </c>
      <c r="B175" s="4" t="n">
        <v>46001</v>
      </c>
      <c r="C175" s="5" t="inlineStr">
        <is>
          <t>Central</t>
        </is>
      </c>
      <c r="D175" s="5" t="inlineStr">
        <is>
          <t>Indore</t>
        </is>
      </c>
      <c r="E175" s="5" t="inlineStr">
        <is>
          <t>Suresh Babu</t>
        </is>
      </c>
      <c r="F175" s="5" t="inlineStr">
        <is>
          <t>Bluetooth Speaker</t>
        </is>
      </c>
      <c r="G175" s="5" t="inlineStr">
        <is>
          <t>Electronics</t>
        </is>
      </c>
      <c r="H175" s="6" t="n">
        <v>3</v>
      </c>
      <c r="I175" s="7" t="n">
        <v>2200</v>
      </c>
      <c r="J175" s="8" t="n">
        <v>0.1</v>
      </c>
      <c r="K175" s="7">
        <f>ROUND(H175*I175*(1-J175),2)</f>
        <v/>
      </c>
      <c r="L175" s="5" t="inlineStr">
        <is>
          <t>Cash</t>
        </is>
      </c>
      <c r="M175" s="5" t="inlineStr">
        <is>
          <t>Phone Order</t>
        </is>
      </c>
    </row>
    <row r="176">
      <c r="A176" s="3" t="inlineStr">
        <is>
          <t>ORD-1175</t>
        </is>
      </c>
      <c r="B176" s="4" t="n">
        <v>46003</v>
      </c>
      <c r="C176" s="5" t="inlineStr">
        <is>
          <t>South</t>
        </is>
      </c>
      <c r="D176" s="5" t="inlineStr">
        <is>
          <t>Bengaluru</t>
        </is>
      </c>
      <c r="E176" s="5" t="inlineStr">
        <is>
          <t>Lakshmi Priya</t>
        </is>
      </c>
      <c r="F176" s="5" t="inlineStr">
        <is>
          <t>Headphones</t>
        </is>
      </c>
      <c r="G176" s="5" t="inlineStr">
        <is>
          <t>Electronics</t>
        </is>
      </c>
      <c r="H176" s="6" t="n">
        <v>1</v>
      </c>
      <c r="I176" s="7" t="n">
        <v>1800</v>
      </c>
      <c r="J176" s="8" t="n">
        <v>0.05</v>
      </c>
      <c r="K176" s="7">
        <f>ROUND(H176*I176*(1-J176),2)</f>
        <v/>
      </c>
      <c r="L176" s="5" t="inlineStr">
        <is>
          <t>Net Banking</t>
        </is>
      </c>
      <c r="M176" s="5" t="inlineStr">
        <is>
          <t>Phone Order</t>
        </is>
      </c>
    </row>
    <row r="177">
      <c r="A177" s="3" t="inlineStr">
        <is>
          <t>ORD-1176</t>
        </is>
      </c>
      <c r="B177" s="4" t="n">
        <v>46005</v>
      </c>
      <c r="C177" s="5" t="inlineStr">
        <is>
          <t>Central</t>
        </is>
      </c>
      <c r="D177" s="5" t="inlineStr">
        <is>
          <t>Indore</t>
        </is>
      </c>
      <c r="E177" s="5" t="inlineStr">
        <is>
          <t>Meena Iyer</t>
        </is>
      </c>
      <c r="F177" s="5" t="inlineStr">
        <is>
          <t>Gel Pen Box</t>
        </is>
      </c>
      <c r="G177" s="5" t="inlineStr">
        <is>
          <t>Stationery</t>
        </is>
      </c>
      <c r="H177" s="6" t="n">
        <v>9</v>
      </c>
      <c r="I177" s="7" t="n">
        <v>180</v>
      </c>
      <c r="J177" s="8" t="n">
        <v>0.05</v>
      </c>
      <c r="K177" s="7">
        <f>ROUND(H177*I177*(1-J177),2)</f>
        <v/>
      </c>
      <c r="L177" s="5" t="inlineStr">
        <is>
          <t>UPI</t>
        </is>
      </c>
      <c r="M177" s="5" t="inlineStr">
        <is>
          <t>Online</t>
        </is>
      </c>
    </row>
    <row r="178">
      <c r="A178" s="3" t="inlineStr">
        <is>
          <t>ORD-1177</t>
        </is>
      </c>
      <c r="B178" s="4" t="n">
        <v>46011</v>
      </c>
      <c r="C178" s="5" t="inlineStr">
        <is>
          <t>Central</t>
        </is>
      </c>
      <c r="D178" s="5" t="inlineStr">
        <is>
          <t>Indore</t>
        </is>
      </c>
      <c r="E178" s="5" t="inlineStr">
        <is>
          <t>Suresh Babu</t>
        </is>
      </c>
      <c r="F178" s="5" t="inlineStr">
        <is>
          <t>Wireless Mouse</t>
        </is>
      </c>
      <c r="G178" s="5" t="inlineStr">
        <is>
          <t>Electronics</t>
        </is>
      </c>
      <c r="H178" s="6" t="n">
        <v>7</v>
      </c>
      <c r="I178" s="7" t="n">
        <v>650</v>
      </c>
      <c r="J178" s="8" t="n">
        <v>0</v>
      </c>
      <c r="K178" s="7">
        <f>ROUND(H178*I178*(1-J178),2)</f>
        <v/>
      </c>
      <c r="L178" s="5" t="inlineStr">
        <is>
          <t>Cash</t>
        </is>
      </c>
      <c r="M178" s="5" t="inlineStr">
        <is>
          <t>Phone Order</t>
        </is>
      </c>
    </row>
    <row r="179">
      <c r="A179" s="3" t="inlineStr">
        <is>
          <t>ORD-1178</t>
        </is>
      </c>
      <c r="B179" s="4" t="n">
        <v>46014</v>
      </c>
      <c r="C179" s="5" t="inlineStr">
        <is>
          <t>West</t>
        </is>
      </c>
      <c r="D179" s="5" t="inlineStr">
        <is>
          <t>Mumbai</t>
        </is>
      </c>
      <c r="E179" s="5" t="inlineStr">
        <is>
          <t>Arun Kumar</t>
        </is>
      </c>
      <c r="F179" s="5" t="inlineStr">
        <is>
          <t>Gel Pen Box</t>
        </is>
      </c>
      <c r="G179" s="5" t="inlineStr">
        <is>
          <t>Stationery</t>
        </is>
      </c>
      <c r="H179" s="6" t="n">
        <v>20</v>
      </c>
      <c r="I179" s="7" t="n">
        <v>180</v>
      </c>
      <c r="J179" s="8" t="n">
        <v>0</v>
      </c>
      <c r="K179" s="7">
        <f>ROUND(H179*I179*(1-J179),2)</f>
        <v/>
      </c>
      <c r="L179" s="5" t="inlineStr">
        <is>
          <t>Debit Card</t>
        </is>
      </c>
      <c r="M179" s="5" t="inlineStr">
        <is>
          <t>In-Store</t>
        </is>
      </c>
    </row>
    <row r="180">
      <c r="A180" s="3" t="inlineStr">
        <is>
          <t>ORD-1179</t>
        </is>
      </c>
      <c r="B180" s="4" t="n">
        <v>46017</v>
      </c>
      <c r="C180" s="5" t="inlineStr">
        <is>
          <t>East</t>
        </is>
      </c>
      <c r="D180" s="5" t="inlineStr">
        <is>
          <t>Patna</t>
        </is>
      </c>
      <c r="E180" s="5" t="inlineStr">
        <is>
          <t>Suresh Babu</t>
        </is>
      </c>
      <c r="F180" s="5" t="inlineStr">
        <is>
          <t>Bookshelf</t>
        </is>
      </c>
      <c r="G180" s="5" t="inlineStr">
        <is>
          <t>Furniture</t>
        </is>
      </c>
      <c r="H180" s="6" t="n">
        <v>1</v>
      </c>
      <c r="I180" s="7" t="n">
        <v>4800</v>
      </c>
      <c r="J180" s="8" t="n">
        <v>0</v>
      </c>
      <c r="K180" s="7">
        <f>ROUND(H180*I180*(1-J180),2)</f>
        <v/>
      </c>
      <c r="L180" s="5" t="inlineStr">
        <is>
          <t>Debit Card</t>
        </is>
      </c>
      <c r="M180" s="5" t="inlineStr">
        <is>
          <t>Phone Order</t>
        </is>
      </c>
    </row>
    <row r="181">
      <c r="A181" s="3" t="inlineStr">
        <is>
          <t>ORD-1180</t>
        </is>
      </c>
      <c r="B181" s="4" t="n">
        <v>46019</v>
      </c>
      <c r="C181" s="5" t="inlineStr">
        <is>
          <t>West</t>
        </is>
      </c>
      <c r="D181" s="5" t="inlineStr">
        <is>
          <t>Ahmedabad</t>
        </is>
      </c>
      <c r="E181" s="5" t="inlineStr">
        <is>
          <t>Lakshmi Priya</t>
        </is>
      </c>
      <c r="F181" s="5" t="inlineStr">
        <is>
          <t>Bookshelf</t>
        </is>
      </c>
      <c r="G181" s="5" t="inlineStr">
        <is>
          <t>Furniture</t>
        </is>
      </c>
      <c r="H181" s="6" t="n">
        <v>3</v>
      </c>
      <c r="I181" s="7" t="n">
        <v>4800</v>
      </c>
      <c r="J181" s="8" t="n">
        <v>0</v>
      </c>
      <c r="K181" s="7">
        <f>ROUND(H181*I181*(1-J181),2)</f>
        <v/>
      </c>
      <c r="L181" s="5" t="inlineStr">
        <is>
          <t>UPI</t>
        </is>
      </c>
      <c r="M181" s="5" t="inlineStr">
        <is>
          <t>Phone Order</t>
        </is>
      </c>
    </row>
  </sheetData>
  <mergeCells count="2">
    <mergeCell ref="Z1:AB1"/>
    <mergeCell ref="Z2:AB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40" customHeight="1">
      <c r="A1" s="14" t="inlineStr">
        <is>
          <t>Sales Analysis Mini-Project: Instructions</t>
        </is>
      </c>
    </row>
    <row r="2">
      <c r="A2" s="15" t="inlineStr">
        <is>
          <t>Level: Beginner. Read each section in order. Short steps, no tricks.</t>
        </is>
      </c>
    </row>
    <row r="4" ht="24" customHeight="1">
      <c r="A4" s="16" t="inlineStr">
        <is>
          <t>1. Project Objective</t>
        </is>
      </c>
    </row>
    <row r="5" ht="23" customHeight="1">
      <c r="A5" s="17" t="n">
        <v>1</v>
      </c>
      <c r="B5" s="18" t="inlineStr">
        <is>
          <t>In this project, you will study a set of sales records.</t>
        </is>
      </c>
    </row>
    <row r="6" ht="23" customHeight="1">
      <c r="A6" s="19" t="n">
        <v>2</v>
      </c>
      <c r="B6" s="20" t="inlineStr">
        <is>
          <t>You will use simple Excel formulas to answer 25 practice questions.</t>
        </is>
      </c>
    </row>
    <row r="7" ht="23" customHeight="1">
      <c r="A7" s="17" t="n">
        <v>3</v>
      </c>
      <c r="B7" s="18" t="inlineStr">
        <is>
          <t>You will build small summary tables from the data.</t>
        </is>
      </c>
    </row>
    <row r="8" ht="23" customHeight="1">
      <c r="A8" s="19" t="n">
        <v>4</v>
      </c>
      <c r="B8" s="20" t="inlineStr">
        <is>
          <t>You will create charts and one dashboard to show your results.</t>
        </is>
      </c>
    </row>
    <row r="9" ht="23" customHeight="1">
      <c r="A9" s="17" t="n">
        <v>5</v>
      </c>
      <c r="B9" s="18" t="inlineStr">
        <is>
          <t>Work on your own. Use the hints on the Task Questions sheet if you get stuck.</t>
        </is>
      </c>
    </row>
    <row r="11" ht="24" customHeight="1">
      <c r="A11" s="16" t="inlineStr">
        <is>
          <t>2. How to Open and Explore the Dataset</t>
        </is>
      </c>
    </row>
    <row r="12" ht="23" customHeight="1">
      <c r="A12" s="17" t="n">
        <v>1</v>
      </c>
      <c r="B12" s="18" t="inlineStr">
        <is>
          <t>Open the workbook. Click the Sales Data tab at the bottom of the screen.</t>
        </is>
      </c>
    </row>
    <row r="13" ht="23" customHeight="1">
      <c r="A13" s="19" t="n">
        <v>2</v>
      </c>
      <c r="B13" s="20" t="inlineStr">
        <is>
          <t>Look at the column headings in row 1. Each heading names one kind of information.</t>
        </is>
      </c>
    </row>
    <row r="14" ht="23" customHeight="1">
      <c r="A14" s="17" t="n">
        <v>3</v>
      </c>
      <c r="B14" s="18" t="inlineStr">
        <is>
          <t>Read one row from left to right. One row is one sales order.</t>
        </is>
      </c>
    </row>
    <row r="15" ht="23" customHeight="1">
      <c r="A15" s="19" t="n">
        <v>4</v>
      </c>
      <c r="B15" s="20" t="inlineStr">
        <is>
          <t>Scroll down to see all the orders. The headings stay in view as you scroll.</t>
        </is>
      </c>
    </row>
    <row r="16" ht="23" customHeight="1">
      <c r="A16" s="17" t="n">
        <v>5</v>
      </c>
      <c r="B16" s="18" t="inlineStr">
        <is>
          <t>Click a cell in the Sales Amount column. Look at the formula bar to see how it was worked out.</t>
        </is>
      </c>
    </row>
    <row r="17" ht="38" customHeight="1">
      <c r="A17" s="19" t="n">
        <v>6</v>
      </c>
      <c r="B17" s="20" t="inlineStr">
        <is>
          <t>Look at the three charts to the right of the data. They are examples of what you will learn to build.</t>
        </is>
      </c>
    </row>
    <row r="19" ht="24" customHeight="1">
      <c r="A19" s="16" t="inlineStr">
        <is>
          <t>3. How to Use the Table Filters</t>
        </is>
      </c>
    </row>
    <row r="20" ht="23" customHeight="1">
      <c r="A20" s="17" t="n">
        <v>1</v>
      </c>
      <c r="B20" s="18" t="inlineStr">
        <is>
          <t>Click the small arrow in a column heading.</t>
        </is>
      </c>
    </row>
    <row r="21" ht="23" customHeight="1">
      <c r="A21" s="19" t="n">
        <v>2</v>
      </c>
      <c r="B21" s="20" t="inlineStr">
        <is>
          <t>Untick Select All. Then tick only the items you want to see.</t>
        </is>
      </c>
    </row>
    <row r="22" ht="23" customHeight="1">
      <c r="A22" s="17" t="n">
        <v>3</v>
      </c>
      <c r="B22" s="18" t="inlineStr">
        <is>
          <t>Click OK. Excel shows only the matching rows.</t>
        </is>
      </c>
    </row>
    <row r="23" ht="23" customHeight="1">
      <c r="A23" s="19" t="n">
        <v>4</v>
      </c>
      <c r="B23" s="20" t="inlineStr">
        <is>
          <t>To sort, choose a Sort option from the same menu.</t>
        </is>
      </c>
    </row>
    <row r="24" ht="23" customHeight="1">
      <c r="A24" s="17" t="n">
        <v>5</v>
      </c>
      <c r="B24" s="18" t="inlineStr">
        <is>
          <t>To remove a filter, click the arrow and choose Clear Filter.</t>
        </is>
      </c>
    </row>
    <row r="25" ht="23" customHeight="1">
      <c r="A25" s="19" t="n">
        <v>6</v>
      </c>
      <c r="B25" s="20" t="inlineStr">
        <is>
          <t>Remember: filters only change what you see. They do not delete any data.</t>
        </is>
      </c>
    </row>
    <row r="27" ht="24" customHeight="1">
      <c r="A27" s="16" t="inlineStr">
        <is>
          <t>4. How to Enter a Formula</t>
        </is>
      </c>
    </row>
    <row r="28" ht="23" customHeight="1">
      <c r="A28" s="17" t="n">
        <v>1</v>
      </c>
      <c r="B28" s="18" t="inlineStr">
        <is>
          <t>Click the cell where you want the result.</t>
        </is>
      </c>
    </row>
    <row r="29" ht="23" customHeight="1">
      <c r="A29" s="19" t="n">
        <v>2</v>
      </c>
      <c r="B29" s="20" t="inlineStr">
        <is>
          <t>Type an equals sign (=). Every formula starts with =.</t>
        </is>
      </c>
    </row>
    <row r="30" ht="23" customHeight="1">
      <c r="A30" s="17" t="n">
        <v>3</v>
      </c>
      <c r="B30" s="18" t="inlineStr">
        <is>
          <t>Type the rest of the formula. For example, =A1+A2 adds two cells.</t>
        </is>
      </c>
    </row>
    <row r="31" ht="23" customHeight="1">
      <c r="A31" s="19" t="n">
        <v>4</v>
      </c>
      <c r="B31" s="20" t="inlineStr">
        <is>
          <t>For a function, type its name and an opening bracket. Then select the cells with your mouse.</t>
        </is>
      </c>
    </row>
    <row r="32" ht="23" customHeight="1">
      <c r="A32" s="17" t="n">
        <v>5</v>
      </c>
      <c r="B32" s="18" t="inlineStr">
        <is>
          <t>Press Enter to finish.</t>
        </is>
      </c>
    </row>
    <row r="33" ht="23" customHeight="1">
      <c r="A33" s="19" t="n">
        <v>6</v>
      </c>
      <c r="B33" s="20" t="inlineStr">
        <is>
          <t>To fix a formula, click the cell and edit it in the formula bar.</t>
        </is>
      </c>
    </row>
    <row r="35" ht="24" customHeight="1">
      <c r="A35" s="16" t="inlineStr">
        <is>
          <t>5. How to Copy a Formula Down a Column</t>
        </is>
      </c>
    </row>
    <row r="36" ht="23" customHeight="1">
      <c r="A36" s="17" t="n">
        <v>1</v>
      </c>
      <c r="B36" s="18" t="inlineStr">
        <is>
          <t>Click the cell that has your formula.</t>
        </is>
      </c>
    </row>
    <row r="37" ht="23" customHeight="1">
      <c r="A37" s="19" t="n">
        <v>2</v>
      </c>
      <c r="B37" s="20" t="inlineStr">
        <is>
          <t>Move the mouse to the small square at the bottom-right corner of the cell.</t>
        </is>
      </c>
    </row>
    <row r="38" ht="23" customHeight="1">
      <c r="A38" s="17" t="n">
        <v>3</v>
      </c>
      <c r="B38" s="18" t="inlineStr">
        <is>
          <t>The pointer changes to a thin black plus sign.</t>
        </is>
      </c>
    </row>
    <row r="39" ht="23" customHeight="1">
      <c r="A39" s="19" t="n">
        <v>4</v>
      </c>
      <c r="B39" s="20" t="inlineStr">
        <is>
          <t>Drag the square down. Or double-click it.</t>
        </is>
      </c>
    </row>
    <row r="40" ht="23" customHeight="1">
      <c r="A40" s="17" t="n">
        <v>5</v>
      </c>
      <c r="B40" s="18" t="inlineStr">
        <is>
          <t>Check the last few rows to make sure the results look sensible.</t>
        </is>
      </c>
    </row>
    <row r="41" ht="23" customHeight="1">
      <c r="A41" s="19" t="n">
        <v>6</v>
      </c>
      <c r="B41" s="20" t="inlineStr">
        <is>
          <t>If a cell must stay fixed when you copy, search for "absolute reference" and the $ sign.</t>
        </is>
      </c>
    </row>
    <row r="43" ht="24" customHeight="1">
      <c r="A43" s="16" t="inlineStr">
        <is>
          <t>6. How to Format Dates, Currency and Percentages</t>
        </is>
      </c>
    </row>
    <row r="44" ht="23" customHeight="1">
      <c r="A44" s="17" t="n">
        <v>1</v>
      </c>
      <c r="B44" s="18" t="inlineStr">
        <is>
          <t>Select the cells you want to format.</t>
        </is>
      </c>
    </row>
    <row r="45" ht="23" customHeight="1">
      <c r="A45" s="19" t="n">
        <v>2</v>
      </c>
      <c r="B45" s="20" t="inlineStr">
        <is>
          <t>Right-click and choose Format Cells. You can also press Ctrl+1.</t>
        </is>
      </c>
    </row>
    <row r="46" ht="23" customHeight="1">
      <c r="A46" s="17" t="n">
        <v>3</v>
      </c>
      <c r="B46" s="18" t="inlineStr">
        <is>
          <t>Click the Number tab.</t>
        </is>
      </c>
    </row>
    <row r="47" ht="23" customHeight="1">
      <c r="A47" s="19" t="n">
        <v>4</v>
      </c>
      <c r="B47" s="20" t="inlineStr">
        <is>
          <t>For dates, choose Date and pick a style.</t>
        </is>
      </c>
    </row>
    <row r="48" ht="23" customHeight="1">
      <c r="A48" s="17" t="n">
        <v>5</v>
      </c>
      <c r="B48" s="18" t="inlineStr">
        <is>
          <t>For currency, choose Currency and set 2 decimal places.</t>
        </is>
      </c>
    </row>
    <row r="49" ht="23" customHeight="1">
      <c r="A49" s="19" t="n">
        <v>6</v>
      </c>
      <c r="B49" s="20" t="inlineStr">
        <is>
          <t>For percentages, choose Percentage. A value of 0.1 shows as 10%.</t>
        </is>
      </c>
    </row>
    <row r="50" ht="23" customHeight="1">
      <c r="A50" s="17" t="n">
        <v>7</v>
      </c>
      <c r="B50" s="18" t="inlineStr">
        <is>
          <t>Click OK.</t>
        </is>
      </c>
    </row>
    <row r="52" ht="24" customHeight="1">
      <c r="A52" s="16" t="inlineStr">
        <is>
          <t>7. How to Create a Small Summary Table</t>
        </is>
      </c>
    </row>
    <row r="53" ht="23" customHeight="1">
      <c r="A53" s="17" t="n">
        <v>1</v>
      </c>
      <c r="B53" s="18" t="inlineStr">
        <is>
          <t>Choose an empty area. A good place is column G onwards on the Task Questions sheet.</t>
        </is>
      </c>
    </row>
    <row r="54" ht="23" customHeight="1">
      <c r="A54" s="19" t="n">
        <v>2</v>
      </c>
      <c r="B54" s="20" t="inlineStr">
        <is>
          <t>Type a heading for each column, such as Name and Result. Make the headings bold.</t>
        </is>
      </c>
    </row>
    <row r="55" ht="38" customHeight="1">
      <c r="A55" s="17" t="n">
        <v>3</v>
      </c>
      <c r="B55" s="18" t="inlineStr">
        <is>
          <t>List the items you want to compare in the first column. Type each name exactly as it appears in the data.</t>
        </is>
      </c>
    </row>
    <row r="56" ht="38" customHeight="1">
      <c r="A56" s="19" t="n">
        <v>4</v>
      </c>
      <c r="B56" s="20" t="inlineStr">
        <is>
          <t>In the next column, write a formula for the first item. Point to the name cell instead of typing the name again.</t>
        </is>
      </c>
    </row>
    <row r="57" ht="23" customHeight="1">
      <c r="A57" s="17" t="n">
        <v>5</v>
      </c>
      <c r="B57" s="18" t="inlineStr">
        <is>
          <t>Copy the formula down for the other items.</t>
        </is>
      </c>
    </row>
    <row r="58" ht="23" customHeight="1">
      <c r="A58" s="19" t="n">
        <v>6</v>
      </c>
      <c r="B58" s="20" t="inlineStr">
        <is>
          <t>Add borders so the table is easy to read.</t>
        </is>
      </c>
    </row>
    <row r="59" ht="23" customHeight="1">
      <c r="A59" s="17" t="n">
        <v>7</v>
      </c>
      <c r="B59" s="18" t="inlineStr">
        <is>
          <t>Use a filter on the Sales Data sheet to spot-check one of your results.</t>
        </is>
      </c>
    </row>
    <row r="61" ht="24" customHeight="1">
      <c r="A61" s="16" t="inlineStr">
        <is>
          <t>8. How to Insert a Chart Using Selected Data</t>
        </is>
      </c>
    </row>
    <row r="62" ht="23" customHeight="1">
      <c r="A62" s="17" t="n">
        <v>1</v>
      </c>
      <c r="B62" s="18" t="inlineStr">
        <is>
          <t>Select your summary table, including the headings.</t>
        </is>
      </c>
    </row>
    <row r="63" ht="23" customHeight="1">
      <c r="A63" s="19" t="n">
        <v>2</v>
      </c>
      <c r="B63" s="20" t="inlineStr">
        <is>
          <t>Click the Insert tab.</t>
        </is>
      </c>
    </row>
    <row r="64" ht="38" customHeight="1">
      <c r="A64" s="17" t="n">
        <v>3</v>
      </c>
      <c r="B64" s="18" t="inlineStr">
        <is>
          <t>In the Charts group, choose a chart type. Column and bar charts compare groups. Line charts show change over time.</t>
        </is>
      </c>
    </row>
    <row r="65" ht="23" customHeight="1">
      <c r="A65" s="19" t="n">
        <v>4</v>
      </c>
      <c r="B65" s="20" t="inlineStr">
        <is>
          <t>Click the chart style you like. The chart appears on the sheet.</t>
        </is>
      </c>
    </row>
    <row r="66" ht="23" customHeight="1">
      <c r="A66" s="17" t="n">
        <v>5</v>
      </c>
      <c r="B66" s="18" t="inlineStr">
        <is>
          <t>Drag the chart to an empty place. Use the corner handles to resize it.</t>
        </is>
      </c>
    </row>
    <row r="68" ht="24" customHeight="1">
      <c r="A68" s="16" t="inlineStr">
        <is>
          <t>9. How to Add Chart Titles and Labels</t>
        </is>
      </c>
    </row>
    <row r="69" ht="23" customHeight="1">
      <c r="A69" s="17" t="n">
        <v>1</v>
      </c>
      <c r="B69" s="18" t="inlineStr">
        <is>
          <t>Click the chart to select it.</t>
        </is>
      </c>
    </row>
    <row r="70" ht="23" customHeight="1">
      <c r="A70" s="19" t="n">
        <v>2</v>
      </c>
      <c r="B70" s="20" t="inlineStr">
        <is>
          <t>Click the plus (+) button at the top-right of the chart.</t>
        </is>
      </c>
    </row>
    <row r="71" ht="23" customHeight="1">
      <c r="A71" s="17" t="n">
        <v>3</v>
      </c>
      <c r="B71" s="18" t="inlineStr">
        <is>
          <t>Tick Chart Title. Click the title and type a clear name.</t>
        </is>
      </c>
    </row>
    <row r="72" ht="23" customHeight="1">
      <c r="A72" s="19" t="n">
        <v>4</v>
      </c>
      <c r="B72" s="20" t="inlineStr">
        <is>
          <t>Tick Axis Titles. Type what each axis shows.</t>
        </is>
      </c>
    </row>
    <row r="73" ht="23" customHeight="1">
      <c r="A73" s="17" t="n">
        <v>5</v>
      </c>
      <c r="B73" s="18" t="inlineStr">
        <is>
          <t>Tick Data Labels if you want to show the values on the chart.</t>
        </is>
      </c>
    </row>
    <row r="74" ht="23" customHeight="1">
      <c r="A74" s="19" t="n">
        <v>6</v>
      </c>
      <c r="B74" s="20" t="inlineStr">
        <is>
          <t>Remove the Legend if the chart has only one set of data.</t>
        </is>
      </c>
    </row>
    <row r="76" ht="24" customHeight="1">
      <c r="A76" s="16" t="inlineStr">
        <is>
          <t>10. How to Save the Completed Workbook</t>
        </is>
      </c>
    </row>
    <row r="77" ht="23" customHeight="1">
      <c r="A77" s="17" t="n">
        <v>1</v>
      </c>
      <c r="B77" s="18" t="inlineStr">
        <is>
          <t>Click File, then Save As.</t>
        </is>
      </c>
    </row>
    <row r="78" ht="23" customHeight="1">
      <c r="A78" s="19" t="n">
        <v>2</v>
      </c>
      <c r="B78" s="20" t="inlineStr">
        <is>
          <t>Choose a folder you will remember.</t>
        </is>
      </c>
    </row>
    <row r="79" ht="23" customHeight="1">
      <c r="A79" s="17" t="n">
        <v>3</v>
      </c>
      <c r="B79" s="18" t="inlineStr">
        <is>
          <t>Add your name to the file name.</t>
        </is>
      </c>
    </row>
    <row r="80" ht="23" customHeight="1">
      <c r="A80" s="19" t="n">
        <v>4</v>
      </c>
      <c r="B80" s="20" t="inlineStr">
        <is>
          <t>Keep the file type as Excel Workbook (.xlsx).</t>
        </is>
      </c>
    </row>
    <row r="81" ht="23" customHeight="1">
      <c r="A81" s="17" t="n">
        <v>5</v>
      </c>
      <c r="B81" s="18" t="inlineStr">
        <is>
          <t>Click Save. Press Ctrl+S often while you work.</t>
        </is>
      </c>
    </row>
    <row r="83" ht="24" customHeight="1">
      <c r="A83" s="16" t="inlineStr">
        <is>
          <t>11. Basic Excel Functions to Explore</t>
        </is>
      </c>
    </row>
    <row r="84" ht="22" customHeight="1">
      <c r="A84" s="21" t="inlineStr">
        <is>
          <t>Function</t>
        </is>
      </c>
      <c r="B84" s="22" t="inlineStr">
        <is>
          <t>What it is used for</t>
        </is>
      </c>
    </row>
    <row r="85" ht="23" customHeight="1">
      <c r="A85" s="17" t="inlineStr">
        <is>
          <t>SUM</t>
        </is>
      </c>
      <c r="B85" s="18" t="inlineStr">
        <is>
          <t>Adds numbers together.</t>
        </is>
      </c>
    </row>
    <row r="86" ht="23" customHeight="1">
      <c r="A86" s="19" t="inlineStr">
        <is>
          <t>AVERAGE</t>
        </is>
      </c>
      <c r="B86" s="20" t="inlineStr">
        <is>
          <t>Finds the mean of a group of numbers.</t>
        </is>
      </c>
    </row>
    <row r="87" ht="23" customHeight="1">
      <c r="A87" s="17" t="inlineStr">
        <is>
          <t>COUNT</t>
        </is>
      </c>
      <c r="B87" s="18" t="inlineStr">
        <is>
          <t>Counts the cells that contain numbers.</t>
        </is>
      </c>
    </row>
    <row r="88" ht="23" customHeight="1">
      <c r="A88" s="19" t="inlineStr">
        <is>
          <t>COUNTA</t>
        </is>
      </c>
      <c r="B88" s="20" t="inlineStr">
        <is>
          <t>Counts the cells that are not empty.</t>
        </is>
      </c>
    </row>
    <row r="89" ht="23" customHeight="1">
      <c r="A89" s="17" t="inlineStr">
        <is>
          <t>MAX</t>
        </is>
      </c>
      <c r="B89" s="18" t="inlineStr">
        <is>
          <t>Finds the largest number in a group.</t>
        </is>
      </c>
    </row>
    <row r="90" ht="23" customHeight="1">
      <c r="A90" s="19" t="inlineStr">
        <is>
          <t>MIN</t>
        </is>
      </c>
      <c r="B90" s="20" t="inlineStr">
        <is>
          <t>Finds the smallest number in a group.</t>
        </is>
      </c>
    </row>
    <row r="91" ht="23" customHeight="1">
      <c r="A91" s="17" t="inlineStr">
        <is>
          <t>COUNTIF</t>
        </is>
      </c>
      <c r="B91" s="18" t="inlineStr">
        <is>
          <t>Counts the cells that meet one condition.</t>
        </is>
      </c>
    </row>
    <row r="92" ht="23" customHeight="1">
      <c r="A92" s="19" t="inlineStr">
        <is>
          <t>SUMIF</t>
        </is>
      </c>
      <c r="B92" s="20" t="inlineStr">
        <is>
          <t>Adds the numbers that meet one condition.</t>
        </is>
      </c>
    </row>
    <row r="93" ht="23" customHeight="1">
      <c r="A93" s="17" t="inlineStr">
        <is>
          <t>SUMIFS</t>
        </is>
      </c>
      <c r="B93" s="18" t="inlineStr">
        <is>
          <t>Adds the numbers that meet two or more conditions.</t>
        </is>
      </c>
    </row>
    <row r="94" ht="23" customHeight="1">
      <c r="A94" s="19" t="inlineStr">
        <is>
          <t>AVERAGEIF</t>
        </is>
      </c>
      <c r="B94" s="20" t="inlineStr">
        <is>
          <t>Finds the mean of the numbers that meet one condition.</t>
        </is>
      </c>
    </row>
    <row r="95">
      <c r="A95" s="15" t="inlineStr">
        <is>
          <t>To learn how a function works, press F1 or click the fx button next to the formula bar.</t>
        </is>
      </c>
    </row>
    <row r="97" ht="24" customHeight="1">
      <c r="A97" s="16" t="inlineStr">
        <is>
          <t>12. Helpful Tips</t>
        </is>
      </c>
    </row>
    <row r="98" ht="23" customHeight="1">
      <c r="A98" s="17" t="n">
        <v>1</v>
      </c>
      <c r="B98" s="18" t="inlineStr">
        <is>
          <t>Do not change the records on the Sales Data sheet.</t>
        </is>
      </c>
    </row>
    <row r="99" ht="23" customHeight="1">
      <c r="A99" s="19" t="n">
        <v>2</v>
      </c>
      <c r="B99" s="20" t="inlineStr">
        <is>
          <t>The Sales Amount column already has formulas. Leave them as they are.</t>
        </is>
      </c>
    </row>
    <row r="100" ht="38" customHeight="1">
      <c r="A100" s="17" t="n">
        <v>3</v>
      </c>
      <c r="B100" s="18" t="inlineStr">
        <is>
          <t>The three charts on the Sales Data sheet use a support area on the right. You do not need to edit it.</t>
        </is>
      </c>
    </row>
    <row r="101" ht="23" customHeight="1">
      <c r="A101" s="19" t="n">
        <v>4</v>
      </c>
      <c r="B101" s="20" t="inlineStr">
        <is>
          <t>Press Ctrl+Z to undo a mistake.</t>
        </is>
      </c>
    </row>
    <row r="102" ht="23" customHeight="1">
      <c r="A102" s="17" t="n">
        <v>5</v>
      </c>
      <c r="B102" s="18" t="inlineStr">
        <is>
          <t>Write your answers in the Student Answer column on the Task Questions sheet.</t>
        </is>
      </c>
    </row>
  </sheetData>
  <mergeCells count="15">
    <mergeCell ref="A4:B4"/>
    <mergeCell ref="A2:B2"/>
    <mergeCell ref="A52:B52"/>
    <mergeCell ref="A43:B43"/>
    <mergeCell ref="A76:B76"/>
    <mergeCell ref="A19:B19"/>
    <mergeCell ref="A11:B11"/>
    <mergeCell ref="A68:B68"/>
    <mergeCell ref="A95:B95"/>
    <mergeCell ref="A1:B1"/>
    <mergeCell ref="A27:B27"/>
    <mergeCell ref="A61:B61"/>
    <mergeCell ref="A97:B97"/>
    <mergeCell ref="A83:B83"/>
    <mergeCell ref="A35:B35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30" customWidth="1" min="3" max="3"/>
    <col width="56" customWidth="1" min="4" max="4"/>
  </cols>
  <sheetData>
    <row r="1" ht="40" customHeight="1">
      <c r="A1" s="14" t="inlineStr">
        <is>
          <t>Task Questions</t>
        </is>
      </c>
    </row>
    <row r="2" ht="36" customHeight="1">
      <c r="A2" s="23" t="inlineStr">
        <is>
          <t>Use the Sales Data sheet to answer each question. Type your answer in the Student Answer column. If a question needs a table or chart, build it in the empty space from column G onwards and write where you put it.</t>
        </is>
      </c>
    </row>
    <row r="3" ht="30" customHeight="1">
      <c r="A3" s="10" t="inlineStr">
        <is>
          <t>Question Number</t>
        </is>
      </c>
      <c r="B3" s="10" t="inlineStr">
        <is>
          <t>Task Question</t>
        </is>
      </c>
      <c r="C3" s="10" t="inlineStr">
        <is>
          <t>Student Answer</t>
        </is>
      </c>
      <c r="D3" s="10" t="inlineStr">
        <is>
          <t>Simple Hint</t>
        </is>
      </c>
    </row>
    <row r="4" ht="38" customHeight="1">
      <c r="A4" s="24" t="n">
        <v>1</v>
      </c>
      <c r="B4" s="25" t="inlineStr">
        <is>
          <t>What is the total number of orders in the Sales Data sheet?</t>
        </is>
      </c>
      <c r="C4" s="26" t="n"/>
      <c r="D4" s="25" t="inlineStr">
        <is>
          <t>Look for a function that counts filled cells. Choose a column that has no blanks.</t>
        </is>
      </c>
    </row>
    <row r="5" ht="38" customHeight="1">
      <c r="A5" s="27" t="n">
        <v>2</v>
      </c>
      <c r="B5" s="28" t="inlineStr">
        <is>
          <t>What is the total number of units sold?</t>
        </is>
      </c>
      <c r="C5" s="26" t="n"/>
      <c r="D5" s="28" t="inlineStr">
        <is>
          <t>Think about adding all the values in the Units Sold column.</t>
        </is>
      </c>
    </row>
    <row r="6" ht="38" customHeight="1">
      <c r="A6" s="24" t="n">
        <v>3</v>
      </c>
      <c r="B6" s="25" t="inlineStr">
        <is>
          <t>What is the total sales amount for all orders?</t>
        </is>
      </c>
      <c r="C6" s="26" t="n"/>
      <c r="D6" s="25" t="inlineStr">
        <is>
          <t>Think about adding all the values in the Sales Amount column.</t>
        </is>
      </c>
    </row>
    <row r="7" ht="38" customHeight="1">
      <c r="A7" s="27" t="n">
        <v>4</v>
      </c>
      <c r="B7" s="28" t="inlineStr">
        <is>
          <t>What is the average sales amount per order?</t>
        </is>
      </c>
      <c r="C7" s="26" t="n"/>
      <c r="D7" s="28" t="inlineStr">
        <is>
          <t>Look for a function that calculates the mean of a column.</t>
        </is>
      </c>
    </row>
    <row r="8" ht="38" customHeight="1">
      <c r="A8" s="24" t="n">
        <v>5</v>
      </c>
      <c r="B8" s="25" t="inlineStr">
        <is>
          <t>What is the highest sales amount in a single order?</t>
        </is>
      </c>
      <c r="C8" s="26" t="n"/>
      <c r="D8" s="25" t="inlineStr">
        <is>
          <t>Look for a function that finds the largest number in a list.</t>
        </is>
      </c>
    </row>
    <row r="9" ht="38" customHeight="1">
      <c r="A9" s="27" t="n">
        <v>6</v>
      </c>
      <c r="B9" s="28" t="inlineStr">
        <is>
          <t>What is the lowest sales amount in a single order?</t>
        </is>
      </c>
      <c r="C9" s="26" t="n"/>
      <c r="D9" s="28" t="inlineStr">
        <is>
          <t>Look for a function that finds the smallest number in a list.</t>
        </is>
      </c>
    </row>
    <row r="10" ht="38" customHeight="1">
      <c r="A10" s="24" t="n">
        <v>7</v>
      </c>
      <c r="B10" s="25" t="inlineStr">
        <is>
          <t>How many orders are there in each region?</t>
        </is>
      </c>
      <c r="C10" s="26" t="n"/>
      <c r="D10" s="25" t="inlineStr">
        <is>
          <t>Make a small list of the regions. Then look for a function that counts only the rows that match a condition.</t>
        </is>
      </c>
    </row>
    <row r="11" ht="38" customHeight="1">
      <c r="A11" s="27" t="n">
        <v>8</v>
      </c>
      <c r="B11" s="28" t="inlineStr">
        <is>
          <t>What is the total sales amount for each region?</t>
        </is>
      </c>
      <c r="C11" s="26" t="n"/>
      <c r="D11" s="28" t="inlineStr">
        <is>
          <t>Use your list of regions again. Look for a function that adds values only when a condition is met.</t>
        </is>
      </c>
    </row>
    <row r="12" ht="38" customHeight="1">
      <c r="A12" s="24" t="n">
        <v>9</v>
      </c>
      <c r="B12" s="25" t="inlineStr">
        <is>
          <t>Which city has the greatest number of orders?</t>
        </is>
      </c>
      <c r="C12" s="26" t="n"/>
      <c r="D12" s="25" t="inlineStr">
        <is>
          <t>Count the orders for every city in a small table. Then compare the counts. Sorting your table can help.</t>
        </is>
      </c>
    </row>
    <row r="13" ht="38" customHeight="1">
      <c r="A13" s="27" t="n">
        <v>10</v>
      </c>
      <c r="B13" s="28" t="inlineStr">
        <is>
          <t>What are the total sales for each product category?</t>
        </is>
      </c>
      <c r="C13" s="26" t="n"/>
      <c r="D13" s="28" t="inlineStr">
        <is>
          <t>Group the sales by category. Use a function that adds values only when the category matches.</t>
        </is>
      </c>
    </row>
    <row r="14" ht="38" customHeight="1">
      <c r="A14" s="24" t="n">
        <v>11</v>
      </c>
      <c r="B14" s="25" t="inlineStr">
        <is>
          <t>How many units were sold for each product?</t>
        </is>
      </c>
      <c r="C14" s="26" t="n"/>
      <c r="D14" s="25" t="inlineStr">
        <is>
          <t>Make a list of the products. Then add the Units Sold for each product using a conditional sum.</t>
        </is>
      </c>
    </row>
    <row r="15" ht="38" customHeight="1">
      <c r="A15" s="27" t="n">
        <v>12</v>
      </c>
      <c r="B15" s="28" t="inlineStr">
        <is>
          <t>Which product has the highest total units sold?</t>
        </is>
      </c>
      <c r="C15" s="26" t="n"/>
      <c r="D15" s="28" t="inlineStr">
        <is>
          <t>Compare the product totals in your table. Find the largest value, then check which product it belongs to.</t>
        </is>
      </c>
    </row>
    <row r="16" ht="38" customHeight="1">
      <c r="A16" s="24" t="n">
        <v>13</v>
      </c>
      <c r="B16" s="25" t="inlineStr">
        <is>
          <t>What are the total sales for each salesperson?</t>
        </is>
      </c>
      <c r="C16" s="26" t="n"/>
      <c r="D16" s="25" t="inlineStr">
        <is>
          <t>Make a list of the salespeople. Add the sales for each name using a function with one condition.</t>
        </is>
      </c>
    </row>
    <row r="17" ht="38" customHeight="1">
      <c r="A17" s="27" t="n">
        <v>14</v>
      </c>
      <c r="B17" s="28" t="inlineStr">
        <is>
          <t>How many orders did each salesperson handle?</t>
        </is>
      </c>
      <c r="C17" s="26" t="n"/>
      <c r="D17" s="28" t="inlineStr">
        <is>
          <t>Use the same list of salespeople. Count how many rows match each name.</t>
        </is>
      </c>
    </row>
    <row r="18" ht="38" customHeight="1">
      <c r="A18" s="24" t="n">
        <v>15</v>
      </c>
      <c r="B18" s="25" t="inlineStr">
        <is>
          <t>What are the total sales for each payment method?</t>
        </is>
      </c>
      <c r="C18" s="26" t="n"/>
      <c r="D18" s="25" t="inlineStr">
        <is>
          <t>List the payment methods. Then add the sales for each method using a conditional sum.</t>
        </is>
      </c>
    </row>
    <row r="19" ht="38" customHeight="1">
      <c r="A19" s="27" t="n">
        <v>16</v>
      </c>
      <c r="B19" s="28" t="inlineStr">
        <is>
          <t>How many orders are there for each sales channel?</t>
        </is>
      </c>
      <c r="C19" s="26" t="n"/>
      <c r="D19" s="28" t="inlineStr">
        <is>
          <t>List the sales channels. Then count the rows that match each channel.</t>
        </is>
      </c>
    </row>
    <row r="20" ht="38" customHeight="1">
      <c r="A20" s="24" t="n">
        <v>17</v>
      </c>
      <c r="B20" s="25" t="inlineStr">
        <is>
          <t>What are the total sales for each sales channel?</t>
        </is>
      </c>
      <c r="C20" s="26" t="n"/>
      <c r="D20" s="25" t="inlineStr">
        <is>
          <t>Use your channel list again. Add the sales for each channel using a conditional sum.</t>
        </is>
      </c>
    </row>
    <row r="21" ht="52" customHeight="1">
      <c r="A21" s="27" t="n">
        <v>18</v>
      </c>
      <c r="B21" s="28" t="inlineStr">
        <is>
          <t>What are the total sales for each month?</t>
        </is>
      </c>
      <c r="C21" s="26" t="n"/>
      <c r="D21" s="28" t="inlineStr">
        <is>
          <t>Add a helper column that pulls the month out of each date. Or use a conditional sum with a start date and an end date.</t>
        </is>
      </c>
    </row>
    <row r="22" ht="38" customHeight="1">
      <c r="A22" s="24" t="n">
        <v>19</v>
      </c>
      <c r="B22" s="25" t="inlineStr">
        <is>
          <t>Which month has the highest total sales?</t>
        </is>
      </c>
      <c r="C22" s="26" t="n"/>
      <c r="D22" s="25" t="inlineStr">
        <is>
          <t>Compare your monthly totals. Find the largest value, then check which month it belongs to.</t>
        </is>
      </c>
    </row>
    <row r="23" ht="52" customHeight="1">
      <c r="A23" s="27" t="n">
        <v>20</v>
      </c>
      <c r="B23" s="28" t="inlineStr">
        <is>
          <t>How many orders received a discount?</t>
        </is>
      </c>
      <c r="C23" s="26" t="n"/>
      <c r="D23" s="28" t="inlineStr">
        <is>
          <t>Look for a function that counts cells that meet a condition. Think about which values in the Discount Percentage column mean a discount was given.</t>
        </is>
      </c>
    </row>
    <row r="24" ht="52" customHeight="1">
      <c r="A24" s="24" t="n">
        <v>21</v>
      </c>
      <c r="B24" s="25" t="inlineStr">
        <is>
          <t>What is the average discount percentage across all orders?</t>
        </is>
      </c>
      <c r="C24" s="26" t="n"/>
      <c r="D24" s="25" t="inlineStr">
        <is>
          <t>Look for the function that finds a mean. Use the Discount Percentage column. Format your result as a percentage.</t>
        </is>
      </c>
    </row>
    <row r="25" ht="52" customHeight="1">
      <c r="A25" s="27" t="n">
        <v>22</v>
      </c>
      <c r="B25" s="28" t="inlineStr">
        <is>
          <t>Create a chart that compares total sales across regions.</t>
        </is>
      </c>
      <c r="C25" s="26" t="n"/>
      <c r="D25" s="28" t="inlineStr">
        <is>
          <t>Prepare a small summary table before inserting a chart. Select the names and totals, then choose a column or bar chart.</t>
        </is>
      </c>
    </row>
    <row r="26" ht="52" customHeight="1">
      <c r="A26" s="24" t="n">
        <v>23</v>
      </c>
      <c r="B26" s="25" t="inlineStr">
        <is>
          <t>Create a chart that shows the number of orders in each product category.</t>
        </is>
      </c>
      <c r="C26" s="26" t="n"/>
      <c r="D26" s="25" t="inlineStr">
        <is>
          <t>Make a summary table that counts the orders for each category. Select it and insert a column chart. Add a clear title.</t>
        </is>
      </c>
    </row>
    <row r="27" ht="52" customHeight="1">
      <c r="A27" s="27" t="n">
        <v>24</v>
      </c>
      <c r="B27" s="28" t="inlineStr">
        <is>
          <t>Create a line chart that shows monthly sales.</t>
        </is>
      </c>
      <c r="C27" s="26" t="n"/>
      <c r="D27" s="28" t="inlineStr">
        <is>
          <t>Prepare a table with the months in order and the sales for each month. Select it and insert a line chart. Add axis titles.</t>
        </is>
      </c>
    </row>
    <row r="28" ht="52" customHeight="1">
      <c r="A28" s="24" t="n">
        <v>25</v>
      </c>
      <c r="B28" s="25" t="inlineStr">
        <is>
          <t>Build a one-page dashboard that has at least three charts and key figures from your analysis, such as total orders and total sales.</t>
        </is>
      </c>
      <c r="C28" s="26" t="n"/>
      <c r="D28" s="25" t="inlineStr">
        <is>
          <t>Collect your key figures and summary tables in one area. Insert three charts, resize them, and place them neatly on one page.</t>
        </is>
      </c>
    </row>
  </sheetData>
  <autoFilter ref="A3:D28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Sales Analysis Mini-Project</dc:creator>
  <dc:title xmlns:dc="http://purl.org/dc/elements/1.1/">Beginner Sales Analysis Mini-Project</dc:title>
  <dcterms:created xmlns:dcterms="http://purl.org/dc/terms/" xmlns:xsi="http://www.w3.org/2001/XMLSchema-instance" xsi:type="dcterms:W3CDTF">2026-10-29T04:09:04Z</dcterms:created>
  <dcterms:modified xmlns:dcterms="http://purl.org/dc/terms/" xmlns:xsi="http://www.w3.org/2001/XMLSchema-instance" xsi:type="dcterms:W3CDTF">2026-10-29T04:09:04Z</dcterms:modified>
</cp:coreProperties>
</file>