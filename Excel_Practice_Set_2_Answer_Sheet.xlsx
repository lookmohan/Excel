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Data" sheetId="1" state="visible" r:id="rId3"/>
    <sheet name="10 New Questions" sheetId="2" state="visible" r:id="rId4"/>
    <sheet name="Read Me" sheetId="3" state="visible" r:id="rId5"/>
  </sheets>
  <definedNames>
    <definedName function="false" hidden="true" localSheetId="0" name="_xlnm._FilterDatabase" vbProcedure="false">'Employee Data'!$A$1:$Q$26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<sst xmlns="http://schemas.openxmlformats.org/spreadsheetml/2006/main" count="190" uniqueCount="146">
  <si>
    <t xml:space="preserve">Employee ID</t>
  </si>
  <si>
    <t xml:space="preserve">First Name</t>
  </si>
  <si>
    <t xml:space="preserve">Last Name</t>
  </si>
  <si>
    <t xml:space="preserve">Department</t>
  </si>
  <si>
    <t xml:space="preserve">City</t>
  </si>
  <si>
    <t xml:space="preserve">Joining Date</t>
  </si>
  <si>
    <t xml:space="preserve">Monthly Salary (₹)</t>
  </si>
  <si>
    <t xml:space="preserve">Days Present</t>
  </si>
  <si>
    <t xml:space="preserve">Working Days</t>
  </si>
  <si>
    <t xml:space="preserve">Performance Rating</t>
  </si>
  <si>
    <t xml:space="preserve">Attendance Status</t>
  </si>
  <si>
    <t xml:space="preserve">Performance Band</t>
  </si>
  <si>
    <t xml:space="preserve">Bonus (₹)</t>
  </si>
  <si>
    <t xml:space="preserve">Net Salary (₹)</t>
  </si>
  <si>
    <t xml:space="preserve">Employee Code</t>
  </si>
  <si>
    <t xml:space="preserve">Full Name</t>
  </si>
  <si>
    <t xml:space="preserve">Years of Service</t>
  </si>
  <si>
    <t xml:space="preserve">Anitha</t>
  </si>
  <si>
    <t xml:space="preserve">Raman</t>
  </si>
  <si>
    <t xml:space="preserve">IT</t>
  </si>
  <si>
    <t xml:space="preserve">Chennai</t>
  </si>
  <si>
    <t xml:space="preserve">2022-04-11</t>
  </si>
  <si>
    <t xml:space="preserve">Bala</t>
  </si>
  <si>
    <t xml:space="preserve">Kumar</t>
  </si>
  <si>
    <t xml:space="preserve">Sales</t>
  </si>
  <si>
    <t xml:space="preserve">Coimbatore</t>
  </si>
  <si>
    <t xml:space="preserve">2021-08-16</t>
  </si>
  <si>
    <t xml:space="preserve">Charan</t>
  </si>
  <si>
    <t xml:space="preserve">Raj</t>
  </si>
  <si>
    <t xml:space="preserve">HR</t>
  </si>
  <si>
    <t xml:space="preserve">2023-01-09</t>
  </si>
  <si>
    <t xml:space="preserve">Deepa</t>
  </si>
  <si>
    <t xml:space="preserve">Mohan</t>
  </si>
  <si>
    <t xml:space="preserve">Finance</t>
  </si>
  <si>
    <t xml:space="preserve">Madurai</t>
  </si>
  <si>
    <t xml:space="preserve">2020-06-22</t>
  </si>
  <si>
    <t xml:space="preserve">Ezhil</t>
  </si>
  <si>
    <t xml:space="preserve">Kannan</t>
  </si>
  <si>
    <t xml:space="preserve">2019-11-04</t>
  </si>
  <si>
    <t xml:space="preserve">Farah</t>
  </si>
  <si>
    <t xml:space="preserve">Ali</t>
  </si>
  <si>
    <t xml:space="preserve">Trichy</t>
  </si>
  <si>
    <t xml:space="preserve">2024-02-12</t>
  </si>
  <si>
    <t xml:space="preserve">Gokul</t>
  </si>
  <si>
    <t xml:space="preserve">Nathan</t>
  </si>
  <si>
    <t xml:space="preserve">Support</t>
  </si>
  <si>
    <t xml:space="preserve">2022-09-19</t>
  </si>
  <si>
    <t xml:space="preserve">Harini</t>
  </si>
  <si>
    <t xml:space="preserve">Devi</t>
  </si>
  <si>
    <t xml:space="preserve">2021-03-15</t>
  </si>
  <si>
    <t xml:space="preserve">Imran</t>
  </si>
  <si>
    <t xml:space="preserve">Sheik</t>
  </si>
  <si>
    <t xml:space="preserve">2023-07-03</t>
  </si>
  <si>
    <t xml:space="preserve">Janani</t>
  </si>
  <si>
    <t xml:space="preserve">Priya</t>
  </si>
  <si>
    <t xml:space="preserve">2018-12-10</t>
  </si>
  <si>
    <t xml:space="preserve">Karthik</t>
  </si>
  <si>
    <t xml:space="preserve">Vel</t>
  </si>
  <si>
    <t xml:space="preserve">2020-10-05</t>
  </si>
  <si>
    <t xml:space="preserve">Lavanya</t>
  </si>
  <si>
    <t xml:space="preserve">Sri</t>
  </si>
  <si>
    <t xml:space="preserve">2024-05-20</t>
  </si>
  <si>
    <t xml:space="preserve">Manoj</t>
  </si>
  <si>
    <t xml:space="preserve">Prabhu</t>
  </si>
  <si>
    <t xml:space="preserve">2022-01-17</t>
  </si>
  <si>
    <t xml:space="preserve">Nivetha</t>
  </si>
  <si>
    <t xml:space="preserve">2023-10-02</t>
  </si>
  <si>
    <t xml:space="preserve">Omkar</t>
  </si>
  <si>
    <t xml:space="preserve">Das</t>
  </si>
  <si>
    <t xml:space="preserve">2021-12-13</t>
  </si>
  <si>
    <t xml:space="preserve">Pavithra</t>
  </si>
  <si>
    <t xml:space="preserve">M</t>
  </si>
  <si>
    <t xml:space="preserve">2019-05-06</t>
  </si>
  <si>
    <t xml:space="preserve">Rahul</t>
  </si>
  <si>
    <t xml:space="preserve">Dev</t>
  </si>
  <si>
    <t xml:space="preserve">2024-01-08</t>
  </si>
  <si>
    <t xml:space="preserve">Sneha</t>
  </si>
  <si>
    <t xml:space="preserve">B</t>
  </si>
  <si>
    <t xml:space="preserve">2022-06-27</t>
  </si>
  <si>
    <t xml:space="preserve">Tharun</t>
  </si>
  <si>
    <t xml:space="preserve">K</t>
  </si>
  <si>
    <t xml:space="preserve">2020-02-03</t>
  </si>
  <si>
    <t xml:space="preserve">Uma</t>
  </si>
  <si>
    <t xml:space="preserve">2023-03-13</t>
  </si>
  <si>
    <t xml:space="preserve">Vijay</t>
  </si>
  <si>
    <t xml:space="preserve">Anand</t>
  </si>
  <si>
    <t xml:space="preserve">2021-11-22</t>
  </si>
  <si>
    <t xml:space="preserve">Yamini</t>
  </si>
  <si>
    <t xml:space="preserve">S</t>
  </si>
  <si>
    <t xml:space="preserve">2019-08-26</t>
  </si>
  <si>
    <t xml:space="preserve">Zahir</t>
  </si>
  <si>
    <t xml:space="preserve">Ahmed</t>
  </si>
  <si>
    <t xml:space="preserve">2024-03-18</t>
  </si>
  <si>
    <t xml:space="preserve">Aarthi</t>
  </si>
  <si>
    <t xml:space="preserve">2022-12-05</t>
  </si>
  <si>
    <t xml:space="preserve">Bharath</t>
  </si>
  <si>
    <t xml:space="preserve">R</t>
  </si>
  <si>
    <t xml:space="preserve">2020-07-27</t>
  </si>
  <si>
    <t xml:space="preserve">No.</t>
  </si>
  <si>
    <t xml:space="preserve">Practice Question</t>
  </si>
  <si>
    <t xml:space="preserve">Hint</t>
  </si>
  <si>
    <t xml:space="preserve">Answer</t>
  </si>
  <si>
    <t xml:space="preserve">How it works / How to do it</t>
  </si>
  <si>
    <t xml:space="preserve">In Attendance Status, show “Good” if Days Present is at least 20; otherwise show “Needs Improvement”.</t>
  </si>
  <si>
    <t xml:space="preserve">Use IF. Example pattern: =IF(H2&gt;=20,"Good","Needs Improvement")</t>
  </si>
  <si>
    <t xml:space="preserve">Column K (K2:K26): =IF(H2&gt;=20,"Good","Needs Improvement")</t>
  </si>
  <si>
    <t xml:space="preserve">IF(test, value_if_true, value_if_false) checks a condition. H2&gt;=20 asks: are Days Present 20 or more? Yes -&gt; Good, No -&gt; Needs Improvement.
Steps: click K2, type the formula, press Enter, then drag the fill handle (small square at the corner of K2) down to K26.</t>
  </si>
  <si>
    <t xml:space="preserve">In Performance Band, show “Excellent” for a rating of 4.5 or higher, “Good” for 3.5 or higher, and “Improve” otherwise.</t>
  </si>
  <si>
    <t xml:space="preserve">Use nested IF statements.</t>
  </si>
  <si>
    <t xml:space="preserve">Column L: =IF(J2&gt;=4.5,"Excellent",IF(J2&gt;=3.5,"Good","Improve"))</t>
  </si>
  <si>
    <t xml:space="preserve">Nested IF = an IF inside another IF. Excel checks the first test; if false it moves to the next. J2&gt;=4.5 -&gt; Excellent; else J2&gt;=3.5 -&gt; Good; else Improve.
Steps: click L2, type the formula, Enter, drag down to L26. Order matters: always test the highest limit first.</t>
  </si>
  <si>
    <t xml:space="preserve">Calculate Bonus: give 10% of Monthly Salary if Performance Rating is at least 4.0; otherwise give 5%.</t>
  </si>
  <si>
    <t xml:space="preserve">Use IF to choose the bonus rate, then multiply by salary.</t>
  </si>
  <si>
    <t xml:space="preserve">Column M: =IF(J2&gt;=4,G2*10%,G2*5%)</t>
  </si>
  <si>
    <t xml:space="preserve">The IF picks the rate: if rating &gt;= 4 use 10%, else 5%, then multiplies by the salary in G2. Example: 42000 x 10% = 4200.
Steps: click M2, type the formula, Enter, drag down to M26.</t>
  </si>
  <si>
    <t xml:space="preserve">Calculate Net Salary as Monthly Salary plus Bonus.</t>
  </si>
  <si>
    <t xml:space="preserve">Use a simple addition formula.</t>
  </si>
  <si>
    <t xml:space="preserve">Column N: =G2+M2</t>
  </si>
  <si>
    <t xml:space="preserve">Plain addition of two cells. Example: 42000 + 4200 = 46200.
Steps: click N2, type =G2+M2, Enter, drag down to N26. (Needs Bonus to be filled first.)</t>
  </si>
  <si>
    <t xml:space="preserve">Create an Employee Code using the first 3 letters of Department followed by Employee ID.</t>
  </si>
  <si>
    <t xml:space="preserve">Use LEFT and concatenation (&amp;).</t>
  </si>
  <si>
    <t xml:space="preserve">Column O: =LEFT(D2,3)&amp;A2</t>
  </si>
  <si>
    <t xml:space="preserve">LEFT(text, n) takes the first n characters. LEFT(D2,3) gives the first 3 letters of the department (IT -&gt; IT, Sales -&gt; Sal). &amp; joins text, so it is attached to the Employee ID: Sal2002.
Steps: click O2, type the formula, Enter, drag down.</t>
  </si>
  <si>
    <t xml:space="preserve">Create Full Name by joining First Name and Last Name with a space.</t>
  </si>
  <si>
    <t xml:space="preserve">Use &amp; or CONCAT.</t>
  </si>
  <si>
    <t xml:space="preserve">Column P: =B2&amp;" "&amp;C2</t>
  </si>
  <si>
    <t xml:space="preserve">&amp; joins pieces of text. B2 (first name) &amp; " " (a space in quotes) &amp; C2 (last name) -&gt; Anitha Raman. Without the space it would show AnithaRaman.
Steps: click P2, type the formula, Enter, drag down. (CONCAT(B2," ",C2) also works.)</t>
  </si>
  <si>
    <t xml:space="preserve">Calculate each employee’s completed years of service as of 13-Oct-2026.</t>
  </si>
  <si>
    <t xml:space="preserve">Use DATEDIF with the joining date and DATE(2026,10,13).</t>
  </si>
  <si>
    <t xml:space="preserve">Column Q: =DATEDIF(DATEVALUE(F2),DATE(2026,10,13),"Y")</t>
  </si>
  <si>
    <t xml:space="preserve">DATEDIF(start, end, "Y") counts completed years between two dates. DATE(2026,10,13) builds the as-of date. Joining dates are stored as text, so DATEVALUE(F2) converts the text to a real date first.
Steps: click Q2, type the formula, Enter, drag down to Q26. Use "M" for months or "D" for days instead of "Y".</t>
  </si>
  <si>
    <t xml:space="preserve">Count how many IT employees in Chennai have at least 20 days present.</t>
  </si>
  <si>
    <t xml:space="preserve">Use COUNTIFS with multiple conditions.</t>
  </si>
  <si>
    <t xml:space="preserve">COUNTIFS counts rows meeting ALL conditions: Department = IT AND City = Chennai AND Days Present &gt;= 20. Each pair is (range, condition).
How to check by hand: filter Department=IT and City=Chennai, then count rows with Days Present 20+ (Anitha 22, Manoj no - he is Coimbatore, Rahul 20, Ezhil 24 = 3).
Steps: click any empty cell, type the formula, Enter.</t>
  </si>
  <si>
    <t xml:space="preserve">Find the average Performance Rating for the Sales department.</t>
  </si>
  <si>
    <t xml:space="preserve">Use AVERAGEIF.</t>
  </si>
  <si>
    <t xml:space="preserve">AVERAGEIF(range, criteria, average_range) averages only the rows where Department = Sales: it looks in D2:D26 for Sales and averages the matching ratings in J2:J26.
Steps: click an empty cell, type the formula, Enter. Format with 2 decimals if needed.</t>
  </si>
  <si>
    <t xml:space="preserve">Apply conditional formatting to highlight Net Salary above ₹45,000 and Performance Rating below 3.5.</t>
  </si>
  <si>
    <t xml:space="preserve">Use Home → Conditional Formatting → Highlight Cells Rules.</t>
  </si>
  <si>
    <t xml:space="preserve">Done on Employee Data: Net Salary (N) &gt; 45000 highlighted yellow; Performance Rating (J) &lt; 3.5 highlighted red</t>
  </si>
  <si>
    <t xml:space="preserve">Select the cells -&gt; Home -&gt; Conditional Formatting -&gt; Highlight Cells Rules.
Net Salary: select N2:N26 -&gt; Greater Than... -&gt; type 45000 -&gt; choose a fill colour -&gt; OK.
Rating: select J2:J26 -&gt; Less Than... -&gt; type 3.5 -&gt; choose a different colour -&gt; OK.
The highlight updates automatically if values change.</t>
  </si>
  <si>
    <t xml:space="preserve">Excel Practice — Set 2</t>
  </si>
  <si>
    <t xml:space="preserve">This workbook uses a new employee dataset and focuses on formulas and tools beyond basic totals.</t>
  </si>
  <si>
    <t xml:space="preserve">Practice columns to complete:</t>
  </si>
  <si>
    <t xml:space="preserve">Attendance Status, Performance Band, Bonus, Net Salary, Employee Code, Full Name, Years of Service.</t>
  </si>
  <si>
    <t xml:space="preserve">Note: All employee records are fictional and are provided for Excel practice only.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</si>
</sst>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₹#,##0.00"/>
    <numFmt numFmtId="167" formatCode="0.0"/>
    <numFmt numFmtId="168" formatCode="0"/>
    <numFmt numFmtId="169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6"/>
      <color rgb="FF17365D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EmployeeTable" displayName="EmployeeTable" ref="A1:Q26" headerRowCount="1" totalsRowCount="0" totalsRowShown="0">
  <autoFilter ref="A1:Q26"/>
  <tableColumns count="17">
    <tableColumn id="1" name="Employee ID"/>
    <tableColumn id="2" name="First Name"/>
    <tableColumn id="3" name="Last Name"/>
    <tableColumn id="4" name="Department"/>
    <tableColumn id="5" name="City"/>
    <tableColumn id="6" name="Joining Date"/>
    <tableColumn id="7" name="Monthly Salary (₹)"/>
    <tableColumn id="8" name="Days Present"/>
    <tableColumn id="9" name="Working Days"/>
    <tableColumn id="10" name="Performance Rating"/>
    <tableColumn id="11" name="Attendance Status"/>
    <tableColumn id="12" name="Performance Band"/>
    <tableColumn id="13" name="Bonus (₹)"/>
    <tableColumn id="14" name="Net Salary (₹)"/>
    <tableColumn id="15" name="Employee Code"/>
    <tableColumn id="16" name="Full Name"/>
    <tableColumn id="17" name="Years of Service"/>
  </tableColumns>
</table>
</file>

<file path=xl/tables/table2.xml><?xml version="1.0" encoding="utf-8"?>
<table xmlns="http://schemas.openxmlformats.org/spreadsheetml/2006/main" id="2" name="NewQuestionsTable" displayName="NewQuestionsTable" ref="A1:C11" headerRowCount="1" totalsRowCount="0" totalsRowShown="0">
  <autoFilter ref="A1:C11"/>
  <tableColumns count="3">
    <tableColumn id="1" name="No."/>
    <tableColumn id="2" name="Practice Question"/>
    <tableColumn id="3" name="Hi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4" min="2" style="1" width="15"/>
    <col collapsed="false" customWidth="true" hidden="false" outlineLevel="0" max="6" min="5" style="1" width="16"/>
    <col collapsed="false" customWidth="true" hidden="false" outlineLevel="0" max="7" min="7" style="1" width="19"/>
    <col collapsed="false" customWidth="true" hidden="false" outlineLevel="0" max="9" min="8" style="1" width="14"/>
    <col collapsed="false" customWidth="true" hidden="false" outlineLevel="0" max="10" min="10" style="1" width="19"/>
    <col collapsed="false" customWidth="true" hidden="false" outlineLevel="0" max="11" min="11" style="1" width="22"/>
    <col collapsed="false" customWidth="true" hidden="false" outlineLevel="0" max="12" min="12" style="1" width="19"/>
    <col collapsed="false" customWidth="true" hidden="false" outlineLevel="0" max="13" min="13" style="1" width="15"/>
    <col collapsed="false" customWidth="true" hidden="false" outlineLevel="0" max="14" min="14" style="1" width="17"/>
    <col collapsed="false" customWidth="true" hidden="false" outlineLevel="0" max="15" min="15" style="1" width="18"/>
    <col collapsed="false" customWidth="true" hidden="false" outlineLevel="0" max="16" min="16" style="1" width="20"/>
    <col collapsed="false" customWidth="true" hidden="false" outlineLevel="0" max="17" min="17" style="1" width="18"/>
  </cols>
  <sheetData>
    <row r="1" customFormat="false" ht="4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true" outlineLevel="0" collapsed="false">
      <c r="A2" s="1" t="n">
        <v>2001</v>
      </c>
      <c r="B2" s="1" t="s">
        <v>17</v>
      </c>
      <c r="C2" s="1" t="s">
        <v>18</v>
      </c>
      <c r="D2" s="1" t="s">
        <v>19</v>
      </c>
      <c r="E2" s="1" t="s">
        <v>20</v>
      </c>
      <c r="F2" s="3" t="s">
        <v>21</v>
      </c>
      <c r="G2" s="4" t="n">
        <v>42000</v>
      </c>
      <c r="H2" s="1" t="n">
        <v>22</v>
      </c>
      <c r="I2" s="1" t="n">
        <v>24</v>
      </c>
      <c r="J2" s="5" t="n">
        <v>4.4</v>
      </c>
      <c r="K2" s="1" t="str">
        <f aca="false">IF(H2&gt;=20,"Good","Needs Improvement")</f>
        <v>Good</v>
      </c>
      <c r="L2" s="1" t="str">
        <f aca="false">IF(J2&gt;=4.5,"Excellent",IF(J2&gt;=3.5,"Good","Improve"))</f>
        <v>Good</v>
      </c>
      <c r="M2" s="4" t="n">
        <f aca="false">IF(J2&gt;=4,G2*10%,G2*5%)</f>
        <v>4200</v>
      </c>
      <c r="N2" s="4" t="n">
        <f aca="false">G2+M2</f>
        <v>46200</v>
      </c>
      <c r="O2" s="1" t="str">
        <f aca="false">LEFT(D2,3)&amp;A2</f>
        <v>IT2001</v>
      </c>
      <c r="P2" s="1" t="str">
        <f aca="false">B2&amp;" "&amp;C2</f>
        <v>Anitha Raman</v>
      </c>
      <c r="Q2" s="6" t="n">
        <f aca="false">DATEDIF(DATEVALUE(F2),DATE(2026,10,13),"Y")</f>
        <v>4</v>
      </c>
    </row>
    <row r="3" customFormat="false" ht="15" hidden="false" customHeight="true" outlineLevel="0" collapsed="false">
      <c r="A3" s="1" t="n">
        <v>2002</v>
      </c>
      <c r="B3" s="1" t="s">
        <v>22</v>
      </c>
      <c r="C3" s="1" t="s">
        <v>23</v>
      </c>
      <c r="D3" s="1" t="s">
        <v>24</v>
      </c>
      <c r="E3" s="1" t="s">
        <v>25</v>
      </c>
      <c r="F3" s="3" t="s">
        <v>26</v>
      </c>
      <c r="G3" s="4" t="n">
        <v>36000</v>
      </c>
      <c r="H3" s="1" t="n">
        <v>19</v>
      </c>
      <c r="I3" s="1" t="n">
        <v>24</v>
      </c>
      <c r="J3" s="5" t="n">
        <v>3.6</v>
      </c>
      <c r="K3" s="1" t="str">
        <f aca="false">IF(H3&gt;=20,"Good","Needs Improvement")</f>
        <v>Needs Improvement</v>
      </c>
      <c r="L3" s="1" t="str">
        <f aca="false">IF(J3&gt;=4.5,"Excellent",IF(J3&gt;=3.5,"Good","Improve"))</f>
        <v>Good</v>
      </c>
      <c r="M3" s="4" t="n">
        <f aca="false">IF(J3&gt;=4,G3*10%,G3*5%)</f>
        <v>1800</v>
      </c>
      <c r="N3" s="4" t="n">
        <f aca="false">G3+M3</f>
        <v>37800</v>
      </c>
      <c r="O3" s="1" t="str">
        <f aca="false">LEFT(D3,3)&amp;A3</f>
        <v>Sal2002</v>
      </c>
      <c r="P3" s="1" t="str">
        <f aca="false">B3&amp;" "&amp;C3</f>
        <v>Bala Kumar</v>
      </c>
      <c r="Q3" s="6" t="n">
        <f aca="false">DATEDIF(DATEVALUE(F3),DATE(2026,10,13),"Y")</f>
        <v>5</v>
      </c>
    </row>
    <row r="4" customFormat="false" ht="15" hidden="false" customHeight="true" outlineLevel="0" collapsed="false">
      <c r="A4" s="1" t="n">
        <v>2003</v>
      </c>
      <c r="B4" s="1" t="s">
        <v>27</v>
      </c>
      <c r="C4" s="1" t="s">
        <v>28</v>
      </c>
      <c r="D4" s="1" t="s">
        <v>29</v>
      </c>
      <c r="E4" s="1" t="s">
        <v>20</v>
      </c>
      <c r="F4" s="3" t="s">
        <v>30</v>
      </c>
      <c r="G4" s="4" t="n">
        <v>33000</v>
      </c>
      <c r="H4" s="1" t="n">
        <v>23</v>
      </c>
      <c r="I4" s="1" t="n">
        <v>24</v>
      </c>
      <c r="J4" s="5" t="n">
        <v>4.1</v>
      </c>
      <c r="K4" s="1" t="str">
        <f aca="false">IF(H4&gt;=20,"Good","Needs Improvement")</f>
        <v>Good</v>
      </c>
      <c r="L4" s="1" t="str">
        <f aca="false">IF(J4&gt;=4.5,"Excellent",IF(J4&gt;=3.5,"Good","Improve"))</f>
        <v>Good</v>
      </c>
      <c r="M4" s="4" t="n">
        <f aca="false">IF(J4&gt;=4,G4*10%,G4*5%)</f>
        <v>3300</v>
      </c>
      <c r="N4" s="4" t="n">
        <f aca="false">G4+M4</f>
        <v>36300</v>
      </c>
      <c r="O4" s="1" t="str">
        <f aca="false">LEFT(D4,3)&amp;A4</f>
        <v>HR2003</v>
      </c>
      <c r="P4" s="1" t="str">
        <f aca="false">B4&amp;" "&amp;C4</f>
        <v>Charan Raj</v>
      </c>
      <c r="Q4" s="6" t="n">
        <f aca="false">DATEDIF(DATEVALUE(F4),DATE(2026,10,13),"Y")</f>
        <v>3</v>
      </c>
    </row>
    <row r="5" customFormat="false" ht="15" hidden="false" customHeight="true" outlineLevel="0" collapsed="false">
      <c r="A5" s="1" t="n">
        <v>2004</v>
      </c>
      <c r="B5" s="1" t="s">
        <v>31</v>
      </c>
      <c r="C5" s="1" t="s">
        <v>32</v>
      </c>
      <c r="D5" s="1" t="s">
        <v>33</v>
      </c>
      <c r="E5" s="1" t="s">
        <v>34</v>
      </c>
      <c r="F5" s="3" t="s">
        <v>35</v>
      </c>
      <c r="G5" s="4" t="n">
        <v>45000</v>
      </c>
      <c r="H5" s="1" t="n">
        <v>17</v>
      </c>
      <c r="I5" s="1" t="n">
        <v>24</v>
      </c>
      <c r="J5" s="5" t="n">
        <v>3.2</v>
      </c>
      <c r="K5" s="1" t="str">
        <f aca="false">IF(H5&gt;=20,"Good","Needs Improvement")</f>
        <v>Needs Improvement</v>
      </c>
      <c r="L5" s="1" t="str">
        <f aca="false">IF(J5&gt;=4.5,"Excellent",IF(J5&gt;=3.5,"Good","Improve"))</f>
        <v>Improve</v>
      </c>
      <c r="M5" s="4" t="n">
        <f aca="false">IF(J5&gt;=4,G5*10%,G5*5%)</f>
        <v>2250</v>
      </c>
      <c r="N5" s="4" t="n">
        <f aca="false">G5+M5</f>
        <v>47250</v>
      </c>
      <c r="O5" s="1" t="str">
        <f aca="false">LEFT(D5,3)&amp;A5</f>
        <v>Fin2004</v>
      </c>
      <c r="P5" s="1" t="str">
        <f aca="false">B5&amp;" "&amp;C5</f>
        <v>Deepa Mohan</v>
      </c>
      <c r="Q5" s="6" t="n">
        <f aca="false">DATEDIF(DATEVALUE(F5),DATE(2026,10,13),"Y")</f>
        <v>6</v>
      </c>
    </row>
    <row r="6" customFormat="false" ht="15" hidden="false" customHeight="true" outlineLevel="0" collapsed="false">
      <c r="A6" s="1" t="n">
        <v>2005</v>
      </c>
      <c r="B6" s="1" t="s">
        <v>36</v>
      </c>
      <c r="C6" s="1" t="s">
        <v>37</v>
      </c>
      <c r="D6" s="1" t="s">
        <v>19</v>
      </c>
      <c r="E6" s="1" t="s">
        <v>20</v>
      </c>
      <c r="F6" s="3" t="s">
        <v>38</v>
      </c>
      <c r="G6" s="4" t="n">
        <v>58000</v>
      </c>
      <c r="H6" s="1" t="n">
        <v>24</v>
      </c>
      <c r="I6" s="1" t="n">
        <v>24</v>
      </c>
      <c r="J6" s="5" t="n">
        <v>4.8</v>
      </c>
      <c r="K6" s="1" t="str">
        <f aca="false">IF(H6&gt;=20,"Good","Needs Improvement")</f>
        <v>Good</v>
      </c>
      <c r="L6" s="1" t="str">
        <f aca="false">IF(J6&gt;=4.5,"Excellent",IF(J6&gt;=3.5,"Good","Improve"))</f>
        <v>Excellent</v>
      </c>
      <c r="M6" s="4" t="n">
        <f aca="false">IF(J6&gt;=4,G6*10%,G6*5%)</f>
        <v>5800</v>
      </c>
      <c r="N6" s="4" t="n">
        <f aca="false">G6+M6</f>
        <v>63800</v>
      </c>
      <c r="O6" s="1" t="str">
        <f aca="false">LEFT(D6,3)&amp;A6</f>
        <v>IT2005</v>
      </c>
      <c r="P6" s="1" t="str">
        <f aca="false">B6&amp;" "&amp;C6</f>
        <v>Ezhil Kannan</v>
      </c>
      <c r="Q6" s="6" t="n">
        <f aca="false">DATEDIF(DATEVALUE(F6),DATE(2026,10,13),"Y")</f>
        <v>6</v>
      </c>
    </row>
    <row r="7" customFormat="false" ht="15" hidden="false" customHeight="true" outlineLevel="0" collapsed="false">
      <c r="A7" s="1" t="n">
        <v>2006</v>
      </c>
      <c r="B7" s="1" t="s">
        <v>39</v>
      </c>
      <c r="C7" s="1" t="s">
        <v>40</v>
      </c>
      <c r="D7" s="1" t="s">
        <v>24</v>
      </c>
      <c r="E7" s="1" t="s">
        <v>41</v>
      </c>
      <c r="F7" s="3" t="s">
        <v>42</v>
      </c>
      <c r="G7" s="4" t="n">
        <v>31000</v>
      </c>
      <c r="H7" s="1" t="n">
        <v>18</v>
      </c>
      <c r="I7" s="1" t="n">
        <v>24</v>
      </c>
      <c r="J7" s="5" t="n">
        <v>3.9</v>
      </c>
      <c r="K7" s="1" t="str">
        <f aca="false">IF(H7&gt;=20,"Good","Needs Improvement")</f>
        <v>Needs Improvement</v>
      </c>
      <c r="L7" s="1" t="str">
        <f aca="false">IF(J7&gt;=4.5,"Excellent",IF(J7&gt;=3.5,"Good","Improve"))</f>
        <v>Good</v>
      </c>
      <c r="M7" s="4" t="n">
        <f aca="false">IF(J7&gt;=4,G7*10%,G7*5%)</f>
        <v>1550</v>
      </c>
      <c r="N7" s="4" t="n">
        <f aca="false">G7+M7</f>
        <v>32550</v>
      </c>
      <c r="O7" s="1" t="str">
        <f aca="false">LEFT(D7,3)&amp;A7</f>
        <v>Sal2006</v>
      </c>
      <c r="P7" s="1" t="str">
        <f aca="false">B7&amp;" "&amp;C7</f>
        <v>Farah Ali</v>
      </c>
      <c r="Q7" s="6" t="n">
        <f aca="false">DATEDIF(DATEVALUE(F7),DATE(2026,10,13),"Y")</f>
        <v>2</v>
      </c>
    </row>
    <row r="8" customFormat="false" ht="15" hidden="false" customHeight="true" outlineLevel="0" collapsed="false">
      <c r="A8" s="1" t="n">
        <v>2007</v>
      </c>
      <c r="B8" s="1" t="s">
        <v>43</v>
      </c>
      <c r="C8" s="1" t="s">
        <v>44</v>
      </c>
      <c r="D8" s="1" t="s">
        <v>45</v>
      </c>
      <c r="E8" s="1" t="s">
        <v>20</v>
      </c>
      <c r="F8" s="3" t="s">
        <v>46</v>
      </c>
      <c r="G8" s="4" t="n">
        <v>29500</v>
      </c>
      <c r="H8" s="1" t="n">
        <v>20</v>
      </c>
      <c r="I8" s="1" t="n">
        <v>24</v>
      </c>
      <c r="J8" s="5" t="n">
        <v>3.4</v>
      </c>
      <c r="K8" s="1" t="str">
        <f aca="false">IF(H8&gt;=20,"Good","Needs Improvement")</f>
        <v>Good</v>
      </c>
      <c r="L8" s="1" t="str">
        <f aca="false">IF(J8&gt;=4.5,"Excellent",IF(J8&gt;=3.5,"Good","Improve"))</f>
        <v>Improve</v>
      </c>
      <c r="M8" s="4" t="n">
        <f aca="false">IF(J8&gt;=4,G8*10%,G8*5%)</f>
        <v>1475</v>
      </c>
      <c r="N8" s="4" t="n">
        <f aca="false">G8+M8</f>
        <v>30975</v>
      </c>
      <c r="O8" s="1" t="str">
        <f aca="false">LEFT(D8,3)&amp;A8</f>
        <v>Sup2007</v>
      </c>
      <c r="P8" s="1" t="str">
        <f aca="false">B8&amp;" "&amp;C8</f>
        <v>Gokul Nathan</v>
      </c>
      <c r="Q8" s="6" t="n">
        <f aca="false">DATEDIF(DATEVALUE(F8),DATE(2026,10,13),"Y")</f>
        <v>4</v>
      </c>
    </row>
    <row r="9" customFormat="false" ht="15" hidden="false" customHeight="true" outlineLevel="0" collapsed="false">
      <c r="A9" s="1" t="n">
        <v>2008</v>
      </c>
      <c r="B9" s="1" t="s">
        <v>47</v>
      </c>
      <c r="C9" s="1" t="s">
        <v>48</v>
      </c>
      <c r="D9" s="1" t="s">
        <v>33</v>
      </c>
      <c r="E9" s="1" t="s">
        <v>25</v>
      </c>
      <c r="F9" s="3" t="s">
        <v>49</v>
      </c>
      <c r="G9" s="4" t="n">
        <v>47000</v>
      </c>
      <c r="H9" s="1" t="n">
        <v>22</v>
      </c>
      <c r="I9" s="1" t="n">
        <v>24</v>
      </c>
      <c r="J9" s="5" t="n">
        <v>4.2</v>
      </c>
      <c r="K9" s="1" t="str">
        <f aca="false">IF(H9&gt;=20,"Good","Needs Improvement")</f>
        <v>Good</v>
      </c>
      <c r="L9" s="1" t="str">
        <f aca="false">IF(J9&gt;=4.5,"Excellent",IF(J9&gt;=3.5,"Good","Improve"))</f>
        <v>Good</v>
      </c>
      <c r="M9" s="4" t="n">
        <f aca="false">IF(J9&gt;=4,G9*10%,G9*5%)</f>
        <v>4700</v>
      </c>
      <c r="N9" s="4" t="n">
        <f aca="false">G9+M9</f>
        <v>51700</v>
      </c>
      <c r="O9" s="1" t="str">
        <f aca="false">LEFT(D9,3)&amp;A9</f>
        <v>Fin2008</v>
      </c>
      <c r="P9" s="1" t="str">
        <f aca="false">B9&amp;" "&amp;C9</f>
        <v>Harini Devi</v>
      </c>
      <c r="Q9" s="6" t="n">
        <f aca="false">DATEDIF(DATEVALUE(F9),DATE(2026,10,13),"Y")</f>
        <v>5</v>
      </c>
    </row>
    <row r="10" customFormat="false" ht="15" hidden="false" customHeight="true" outlineLevel="0" collapsed="false">
      <c r="A10" s="1" t="n">
        <v>2009</v>
      </c>
      <c r="B10" s="1" t="s">
        <v>50</v>
      </c>
      <c r="C10" s="1" t="s">
        <v>51</v>
      </c>
      <c r="D10" s="1" t="s">
        <v>19</v>
      </c>
      <c r="E10" s="1" t="s">
        <v>34</v>
      </c>
      <c r="F10" s="3" t="s">
        <v>52</v>
      </c>
      <c r="G10" s="4" t="n">
        <v>39000</v>
      </c>
      <c r="H10" s="1" t="n">
        <v>16</v>
      </c>
      <c r="I10" s="1" t="n">
        <v>24</v>
      </c>
      <c r="J10" s="5" t="n">
        <v>3.1</v>
      </c>
      <c r="K10" s="1" t="str">
        <f aca="false">IF(H10&gt;=20,"Good","Needs Improvement")</f>
        <v>Needs Improvement</v>
      </c>
      <c r="L10" s="1" t="str">
        <f aca="false">IF(J10&gt;=4.5,"Excellent",IF(J10&gt;=3.5,"Good","Improve"))</f>
        <v>Improve</v>
      </c>
      <c r="M10" s="4" t="n">
        <f aca="false">IF(J10&gt;=4,G10*10%,G10*5%)</f>
        <v>1950</v>
      </c>
      <c r="N10" s="4" t="n">
        <f aca="false">G10+M10</f>
        <v>40950</v>
      </c>
      <c r="O10" s="1" t="str">
        <f aca="false">LEFT(D10,3)&amp;A10</f>
        <v>IT2009</v>
      </c>
      <c r="P10" s="1" t="str">
        <f aca="false">B10&amp;" "&amp;C10</f>
        <v>Imran Sheik</v>
      </c>
      <c r="Q10" s="6" t="n">
        <f aca="false">DATEDIF(DATEVALUE(F10),DATE(2026,10,13),"Y")</f>
        <v>3</v>
      </c>
    </row>
    <row r="11" customFormat="false" ht="15" hidden="false" customHeight="true" outlineLevel="0" collapsed="false">
      <c r="A11" s="1" t="n">
        <v>2010</v>
      </c>
      <c r="B11" s="1" t="s">
        <v>53</v>
      </c>
      <c r="C11" s="1" t="s">
        <v>54</v>
      </c>
      <c r="D11" s="1" t="s">
        <v>29</v>
      </c>
      <c r="E11" s="1" t="s">
        <v>20</v>
      </c>
      <c r="F11" s="3" t="s">
        <v>55</v>
      </c>
      <c r="G11" s="4" t="n">
        <v>52000</v>
      </c>
      <c r="H11" s="1" t="n">
        <v>24</v>
      </c>
      <c r="I11" s="1" t="n">
        <v>24</v>
      </c>
      <c r="J11" s="5" t="n">
        <v>4.7</v>
      </c>
      <c r="K11" s="1" t="str">
        <f aca="false">IF(H11&gt;=20,"Good","Needs Improvement")</f>
        <v>Good</v>
      </c>
      <c r="L11" s="1" t="str">
        <f aca="false">IF(J11&gt;=4.5,"Excellent",IF(J11&gt;=3.5,"Good","Improve"))</f>
        <v>Excellent</v>
      </c>
      <c r="M11" s="4" t="n">
        <f aca="false">IF(J11&gt;=4,G11*10%,G11*5%)</f>
        <v>5200</v>
      </c>
      <c r="N11" s="4" t="n">
        <f aca="false">G11+M11</f>
        <v>57200</v>
      </c>
      <c r="O11" s="1" t="str">
        <f aca="false">LEFT(D11,3)&amp;A11</f>
        <v>HR2010</v>
      </c>
      <c r="P11" s="1" t="str">
        <f aca="false">B11&amp;" "&amp;C11</f>
        <v>Janani Priya</v>
      </c>
      <c r="Q11" s="6" t="n">
        <f aca="false">DATEDIF(DATEVALUE(F11),DATE(2026,10,13),"Y")</f>
        <v>7</v>
      </c>
    </row>
    <row r="12" customFormat="false" ht="15" hidden="false" customHeight="true" outlineLevel="0" collapsed="false">
      <c r="A12" s="1" t="n">
        <v>2011</v>
      </c>
      <c r="B12" s="1" t="s">
        <v>56</v>
      </c>
      <c r="C12" s="1" t="s">
        <v>57</v>
      </c>
      <c r="D12" s="1" t="s">
        <v>24</v>
      </c>
      <c r="E12" s="1" t="s">
        <v>20</v>
      </c>
      <c r="F12" s="3" t="s">
        <v>58</v>
      </c>
      <c r="G12" s="4" t="n">
        <v>41000</v>
      </c>
      <c r="H12" s="1" t="n">
        <v>21</v>
      </c>
      <c r="I12" s="1" t="n">
        <v>24</v>
      </c>
      <c r="J12" s="5" t="n">
        <v>4</v>
      </c>
      <c r="K12" s="1" t="str">
        <f aca="false">IF(H12&gt;=20,"Good","Needs Improvement")</f>
        <v>Good</v>
      </c>
      <c r="L12" s="1" t="str">
        <f aca="false">IF(J12&gt;=4.5,"Excellent",IF(J12&gt;=3.5,"Good","Improve"))</f>
        <v>Good</v>
      </c>
      <c r="M12" s="4" t="n">
        <f aca="false">IF(J12&gt;=4,G12*10%,G12*5%)</f>
        <v>4100</v>
      </c>
      <c r="N12" s="4" t="n">
        <f aca="false">G12+M12</f>
        <v>45100</v>
      </c>
      <c r="O12" s="1" t="str">
        <f aca="false">LEFT(D12,3)&amp;A12</f>
        <v>Sal2011</v>
      </c>
      <c r="P12" s="1" t="str">
        <f aca="false">B12&amp;" "&amp;C12</f>
        <v>Karthik Vel</v>
      </c>
      <c r="Q12" s="6" t="n">
        <f aca="false">DATEDIF(DATEVALUE(F12),DATE(2026,10,13),"Y")</f>
        <v>6</v>
      </c>
    </row>
    <row r="13" customFormat="false" ht="15" hidden="false" customHeight="true" outlineLevel="0" collapsed="false">
      <c r="A13" s="1" t="n">
        <v>2012</v>
      </c>
      <c r="B13" s="1" t="s">
        <v>59</v>
      </c>
      <c r="C13" s="1" t="s">
        <v>60</v>
      </c>
      <c r="D13" s="1" t="s">
        <v>45</v>
      </c>
      <c r="E13" s="1" t="s">
        <v>41</v>
      </c>
      <c r="F13" s="3" t="s">
        <v>61</v>
      </c>
      <c r="G13" s="4" t="n">
        <v>28000</v>
      </c>
      <c r="H13" s="1" t="n">
        <v>15</v>
      </c>
      <c r="I13" s="1" t="n">
        <v>24</v>
      </c>
      <c r="J13" s="5" t="n">
        <v>2.9</v>
      </c>
      <c r="K13" s="1" t="str">
        <f aca="false">IF(H13&gt;=20,"Good","Needs Improvement")</f>
        <v>Needs Improvement</v>
      </c>
      <c r="L13" s="1" t="str">
        <f aca="false">IF(J13&gt;=4.5,"Excellent",IF(J13&gt;=3.5,"Good","Improve"))</f>
        <v>Improve</v>
      </c>
      <c r="M13" s="4" t="n">
        <f aca="false">IF(J13&gt;=4,G13*10%,G13*5%)</f>
        <v>1400</v>
      </c>
      <c r="N13" s="4" t="n">
        <f aca="false">G13+M13</f>
        <v>29400</v>
      </c>
      <c r="O13" s="1" t="str">
        <f aca="false">LEFT(D13,3)&amp;A13</f>
        <v>Sup2012</v>
      </c>
      <c r="P13" s="1" t="str">
        <f aca="false">B13&amp;" "&amp;C13</f>
        <v>Lavanya Sri</v>
      </c>
      <c r="Q13" s="6" t="n">
        <f aca="false">DATEDIF(DATEVALUE(F13),DATE(2026,10,13),"Y")</f>
        <v>2</v>
      </c>
    </row>
    <row r="14" customFormat="false" ht="15" hidden="false" customHeight="true" outlineLevel="0" collapsed="false">
      <c r="A14" s="1" t="n">
        <v>2013</v>
      </c>
      <c r="B14" s="1" t="s">
        <v>62</v>
      </c>
      <c r="C14" s="1" t="s">
        <v>63</v>
      </c>
      <c r="D14" s="1" t="s">
        <v>19</v>
      </c>
      <c r="E14" s="1" t="s">
        <v>25</v>
      </c>
      <c r="F14" s="3" t="s">
        <v>64</v>
      </c>
      <c r="G14" s="4" t="n">
        <v>44000</v>
      </c>
      <c r="H14" s="1" t="n">
        <v>23</v>
      </c>
      <c r="I14" s="1" t="n">
        <v>24</v>
      </c>
      <c r="J14" s="5" t="n">
        <v>4.3</v>
      </c>
      <c r="K14" s="1" t="str">
        <f aca="false">IF(H14&gt;=20,"Good","Needs Improvement")</f>
        <v>Good</v>
      </c>
      <c r="L14" s="1" t="str">
        <f aca="false">IF(J14&gt;=4.5,"Excellent",IF(J14&gt;=3.5,"Good","Improve"))</f>
        <v>Good</v>
      </c>
      <c r="M14" s="4" t="n">
        <f aca="false">IF(J14&gt;=4,G14*10%,G14*5%)</f>
        <v>4400</v>
      </c>
      <c r="N14" s="4" t="n">
        <f aca="false">G14+M14</f>
        <v>48400</v>
      </c>
      <c r="O14" s="1" t="str">
        <f aca="false">LEFT(D14,3)&amp;A14</f>
        <v>IT2013</v>
      </c>
      <c r="P14" s="1" t="str">
        <f aca="false">B14&amp;" "&amp;C14</f>
        <v>Manoj Prabhu</v>
      </c>
      <c r="Q14" s="6" t="n">
        <f aca="false">DATEDIF(DATEVALUE(F14),DATE(2026,10,13),"Y")</f>
        <v>4</v>
      </c>
    </row>
    <row r="15" customFormat="false" ht="15" hidden="false" customHeight="true" outlineLevel="0" collapsed="false">
      <c r="A15" s="1" t="n">
        <v>2014</v>
      </c>
      <c r="B15" s="1" t="s">
        <v>65</v>
      </c>
      <c r="C15" s="1" t="s">
        <v>28</v>
      </c>
      <c r="D15" s="1" t="s">
        <v>33</v>
      </c>
      <c r="E15" s="1" t="s">
        <v>20</v>
      </c>
      <c r="F15" s="3" t="s">
        <v>66</v>
      </c>
      <c r="G15" s="4" t="n">
        <v>37000</v>
      </c>
      <c r="H15" s="1" t="n">
        <v>19</v>
      </c>
      <c r="I15" s="1" t="n">
        <v>24</v>
      </c>
      <c r="J15" s="5" t="n">
        <v>3.8</v>
      </c>
      <c r="K15" s="1" t="str">
        <f aca="false">IF(H15&gt;=20,"Good","Needs Improvement")</f>
        <v>Needs Improvement</v>
      </c>
      <c r="L15" s="1" t="str">
        <f aca="false">IF(J15&gt;=4.5,"Excellent",IF(J15&gt;=3.5,"Good","Improve"))</f>
        <v>Good</v>
      </c>
      <c r="M15" s="4" t="n">
        <f aca="false">IF(J15&gt;=4,G15*10%,G15*5%)</f>
        <v>1850</v>
      </c>
      <c r="N15" s="4" t="n">
        <f aca="false">G15+M15</f>
        <v>38850</v>
      </c>
      <c r="O15" s="1" t="str">
        <f aca="false">LEFT(D15,3)&amp;A15</f>
        <v>Fin2014</v>
      </c>
      <c r="P15" s="1" t="str">
        <f aca="false">B15&amp;" "&amp;C15</f>
        <v>Nivetha Raj</v>
      </c>
      <c r="Q15" s="6" t="n">
        <f aca="false">DATEDIF(DATEVALUE(F15),DATE(2026,10,13),"Y")</f>
        <v>3</v>
      </c>
    </row>
    <row r="16" customFormat="false" ht="15" hidden="false" customHeight="true" outlineLevel="0" collapsed="false">
      <c r="A16" s="1" t="n">
        <v>2015</v>
      </c>
      <c r="B16" s="1" t="s">
        <v>67</v>
      </c>
      <c r="C16" s="1" t="s">
        <v>68</v>
      </c>
      <c r="D16" s="1" t="s">
        <v>45</v>
      </c>
      <c r="E16" s="1" t="s">
        <v>34</v>
      </c>
      <c r="F16" s="3" t="s">
        <v>69</v>
      </c>
      <c r="G16" s="4" t="n">
        <v>32000</v>
      </c>
      <c r="H16" s="1" t="n">
        <v>22</v>
      </c>
      <c r="I16" s="1" t="n">
        <v>24</v>
      </c>
      <c r="J16" s="5" t="n">
        <v>3.7</v>
      </c>
      <c r="K16" s="1" t="str">
        <f aca="false">IF(H16&gt;=20,"Good","Needs Improvement")</f>
        <v>Good</v>
      </c>
      <c r="L16" s="1" t="str">
        <f aca="false">IF(J16&gt;=4.5,"Excellent",IF(J16&gt;=3.5,"Good","Improve"))</f>
        <v>Good</v>
      </c>
      <c r="M16" s="4" t="n">
        <f aca="false">IF(J16&gt;=4,G16*10%,G16*5%)</f>
        <v>1600</v>
      </c>
      <c r="N16" s="4" t="n">
        <f aca="false">G16+M16</f>
        <v>33600</v>
      </c>
      <c r="O16" s="1" t="str">
        <f aca="false">LEFT(D16,3)&amp;A16</f>
        <v>Sup2015</v>
      </c>
      <c r="P16" s="1" t="str">
        <f aca="false">B16&amp;" "&amp;C16</f>
        <v>Omkar Das</v>
      </c>
      <c r="Q16" s="6" t="n">
        <f aca="false">DATEDIF(DATEVALUE(F16),DATE(2026,10,13),"Y")</f>
        <v>4</v>
      </c>
    </row>
    <row r="17" customFormat="false" ht="15" hidden="false" customHeight="true" outlineLevel="0" collapsed="false">
      <c r="A17" s="1" t="n">
        <v>2016</v>
      </c>
      <c r="B17" s="1" t="s">
        <v>70</v>
      </c>
      <c r="C17" s="1" t="s">
        <v>71</v>
      </c>
      <c r="D17" s="1" t="s">
        <v>24</v>
      </c>
      <c r="E17" s="1" t="s">
        <v>25</v>
      </c>
      <c r="F17" s="3" t="s">
        <v>72</v>
      </c>
      <c r="G17" s="4" t="n">
        <v>49000</v>
      </c>
      <c r="H17" s="1" t="n">
        <v>24</v>
      </c>
      <c r="I17" s="1" t="n">
        <v>24</v>
      </c>
      <c r="J17" s="5" t="n">
        <v>4.6</v>
      </c>
      <c r="K17" s="1" t="str">
        <f aca="false">IF(H17&gt;=20,"Good","Needs Improvement")</f>
        <v>Good</v>
      </c>
      <c r="L17" s="1" t="str">
        <f aca="false">IF(J17&gt;=4.5,"Excellent",IF(J17&gt;=3.5,"Good","Improve"))</f>
        <v>Excellent</v>
      </c>
      <c r="M17" s="4" t="n">
        <f aca="false">IF(J17&gt;=4,G17*10%,G17*5%)</f>
        <v>4900</v>
      </c>
      <c r="N17" s="4" t="n">
        <f aca="false">G17+M17</f>
        <v>53900</v>
      </c>
      <c r="O17" s="1" t="str">
        <f aca="false">LEFT(D17,3)&amp;A17</f>
        <v>Sal2016</v>
      </c>
      <c r="P17" s="1" t="str">
        <f aca="false">B17&amp;" "&amp;C17</f>
        <v>Pavithra M</v>
      </c>
      <c r="Q17" s="6" t="n">
        <f aca="false">DATEDIF(DATEVALUE(F17),DATE(2026,10,13),"Y")</f>
        <v>7</v>
      </c>
    </row>
    <row r="18" customFormat="false" ht="15" hidden="false" customHeight="true" outlineLevel="0" collapsed="false">
      <c r="A18" s="1" t="n">
        <v>2017</v>
      </c>
      <c r="B18" s="1" t="s">
        <v>73</v>
      </c>
      <c r="C18" s="1" t="s">
        <v>74</v>
      </c>
      <c r="D18" s="1" t="s">
        <v>19</v>
      </c>
      <c r="E18" s="1" t="s">
        <v>20</v>
      </c>
      <c r="F18" s="3" t="s">
        <v>75</v>
      </c>
      <c r="G18" s="4" t="n">
        <v>35000</v>
      </c>
      <c r="H18" s="1" t="n">
        <v>20</v>
      </c>
      <c r="I18" s="1" t="n">
        <v>24</v>
      </c>
      <c r="J18" s="5" t="n">
        <v>3.5</v>
      </c>
      <c r="K18" s="1" t="str">
        <f aca="false">IF(H18&gt;=20,"Good","Needs Improvement")</f>
        <v>Good</v>
      </c>
      <c r="L18" s="1" t="str">
        <f aca="false">IF(J18&gt;=4.5,"Excellent",IF(J18&gt;=3.5,"Good","Improve"))</f>
        <v>Good</v>
      </c>
      <c r="M18" s="4" t="n">
        <f aca="false">IF(J18&gt;=4,G18*10%,G18*5%)</f>
        <v>1750</v>
      </c>
      <c r="N18" s="4" t="n">
        <f aca="false">G18+M18</f>
        <v>36750</v>
      </c>
      <c r="O18" s="1" t="str">
        <f aca="false">LEFT(D18,3)&amp;A18</f>
        <v>IT2017</v>
      </c>
      <c r="P18" s="1" t="str">
        <f aca="false">B18&amp;" "&amp;C18</f>
        <v>Rahul Dev</v>
      </c>
      <c r="Q18" s="6" t="n">
        <f aca="false">DATEDIF(DATEVALUE(F18),DATE(2026,10,13),"Y")</f>
        <v>2</v>
      </c>
    </row>
    <row r="19" customFormat="false" ht="15" hidden="false" customHeight="true" outlineLevel="0" collapsed="false">
      <c r="A19" s="1" t="n">
        <v>2018</v>
      </c>
      <c r="B19" s="1" t="s">
        <v>76</v>
      </c>
      <c r="C19" s="1" t="s">
        <v>77</v>
      </c>
      <c r="D19" s="1" t="s">
        <v>29</v>
      </c>
      <c r="E19" s="1" t="s">
        <v>41</v>
      </c>
      <c r="F19" s="3" t="s">
        <v>78</v>
      </c>
      <c r="G19" s="4" t="n">
        <v>34000</v>
      </c>
      <c r="H19" s="1" t="n">
        <v>21</v>
      </c>
      <c r="I19" s="1" t="n">
        <v>24</v>
      </c>
      <c r="J19" s="5" t="n">
        <v>4</v>
      </c>
      <c r="K19" s="1" t="str">
        <f aca="false">IF(H19&gt;=20,"Good","Needs Improvement")</f>
        <v>Good</v>
      </c>
      <c r="L19" s="1" t="str">
        <f aca="false">IF(J19&gt;=4.5,"Excellent",IF(J19&gt;=3.5,"Good","Improve"))</f>
        <v>Good</v>
      </c>
      <c r="M19" s="4" t="n">
        <f aca="false">IF(J19&gt;=4,G19*10%,G19*5%)</f>
        <v>3400</v>
      </c>
      <c r="N19" s="4" t="n">
        <f aca="false">G19+M19</f>
        <v>37400</v>
      </c>
      <c r="O19" s="1" t="str">
        <f aca="false">LEFT(D19,3)&amp;A19</f>
        <v>HR2018</v>
      </c>
      <c r="P19" s="1" t="str">
        <f aca="false">B19&amp;" "&amp;C19</f>
        <v>Sneha B</v>
      </c>
      <c r="Q19" s="6" t="n">
        <f aca="false">DATEDIF(DATEVALUE(F19),DATE(2026,10,13),"Y")</f>
        <v>4</v>
      </c>
    </row>
    <row r="20" customFormat="false" ht="15" hidden="false" customHeight="true" outlineLevel="0" collapsed="false">
      <c r="A20" s="1" t="n">
        <v>2019</v>
      </c>
      <c r="B20" s="1" t="s">
        <v>79</v>
      </c>
      <c r="C20" s="1" t="s">
        <v>80</v>
      </c>
      <c r="D20" s="1" t="s">
        <v>33</v>
      </c>
      <c r="E20" s="1" t="s">
        <v>34</v>
      </c>
      <c r="F20" s="3" t="s">
        <v>81</v>
      </c>
      <c r="G20" s="4" t="n">
        <v>46000</v>
      </c>
      <c r="H20" s="1" t="n">
        <v>18</v>
      </c>
      <c r="I20" s="1" t="n">
        <v>24</v>
      </c>
      <c r="J20" s="5" t="n">
        <v>3.3</v>
      </c>
      <c r="K20" s="1" t="str">
        <f aca="false">IF(H20&gt;=20,"Good","Needs Improvement")</f>
        <v>Needs Improvement</v>
      </c>
      <c r="L20" s="1" t="str">
        <f aca="false">IF(J20&gt;=4.5,"Excellent",IF(J20&gt;=3.5,"Good","Improve"))</f>
        <v>Improve</v>
      </c>
      <c r="M20" s="4" t="n">
        <f aca="false">IF(J20&gt;=4,G20*10%,G20*5%)</f>
        <v>2300</v>
      </c>
      <c r="N20" s="4" t="n">
        <f aca="false">G20+M20</f>
        <v>48300</v>
      </c>
      <c r="O20" s="1" t="str">
        <f aca="false">LEFT(D20,3)&amp;A20</f>
        <v>Fin2019</v>
      </c>
      <c r="P20" s="1" t="str">
        <f aca="false">B20&amp;" "&amp;C20</f>
        <v>Tharun K</v>
      </c>
      <c r="Q20" s="6" t="n">
        <f aca="false">DATEDIF(DATEVALUE(F20),DATE(2026,10,13),"Y")</f>
        <v>6</v>
      </c>
    </row>
    <row r="21" customFormat="false" ht="15" hidden="false" customHeight="true" outlineLevel="0" collapsed="false">
      <c r="A21" s="1" t="n">
        <v>2020</v>
      </c>
      <c r="B21" s="1" t="s">
        <v>82</v>
      </c>
      <c r="C21" s="1" t="s">
        <v>48</v>
      </c>
      <c r="D21" s="1" t="s">
        <v>45</v>
      </c>
      <c r="E21" s="1" t="s">
        <v>20</v>
      </c>
      <c r="F21" s="3" t="s">
        <v>83</v>
      </c>
      <c r="G21" s="4" t="n">
        <v>30000</v>
      </c>
      <c r="H21" s="1" t="n">
        <v>23</v>
      </c>
      <c r="I21" s="1" t="n">
        <v>24</v>
      </c>
      <c r="J21" s="5" t="n">
        <v>4.1</v>
      </c>
      <c r="K21" s="1" t="str">
        <f aca="false">IF(H21&gt;=20,"Good","Needs Improvement")</f>
        <v>Good</v>
      </c>
      <c r="L21" s="1" t="str">
        <f aca="false">IF(J21&gt;=4.5,"Excellent",IF(J21&gt;=3.5,"Good","Improve"))</f>
        <v>Good</v>
      </c>
      <c r="M21" s="4" t="n">
        <f aca="false">IF(J21&gt;=4,G21*10%,G21*5%)</f>
        <v>3000</v>
      </c>
      <c r="N21" s="4" t="n">
        <f aca="false">G21+M21</f>
        <v>33000</v>
      </c>
      <c r="O21" s="1" t="str">
        <f aca="false">LEFT(D21,3)&amp;A21</f>
        <v>Sup2020</v>
      </c>
      <c r="P21" s="1" t="str">
        <f aca="false">B21&amp;" "&amp;C21</f>
        <v>Uma Devi</v>
      </c>
      <c r="Q21" s="6" t="n">
        <f aca="false">DATEDIF(DATEVALUE(F21),DATE(2026,10,13),"Y")</f>
        <v>3</v>
      </c>
    </row>
    <row r="22" customFormat="false" ht="15" hidden="false" customHeight="true" outlineLevel="0" collapsed="false">
      <c r="A22" s="1" t="n">
        <v>2021</v>
      </c>
      <c r="B22" s="1" t="s">
        <v>84</v>
      </c>
      <c r="C22" s="1" t="s">
        <v>85</v>
      </c>
      <c r="D22" s="1" t="s">
        <v>24</v>
      </c>
      <c r="E22" s="1" t="s">
        <v>20</v>
      </c>
      <c r="F22" s="3" t="s">
        <v>86</v>
      </c>
      <c r="G22" s="4" t="n">
        <v>43000</v>
      </c>
      <c r="H22" s="1" t="n">
        <v>17</v>
      </c>
      <c r="I22" s="1" t="n">
        <v>24</v>
      </c>
      <c r="J22" s="5" t="n">
        <v>3</v>
      </c>
      <c r="K22" s="1" t="str">
        <f aca="false">IF(H22&gt;=20,"Good","Needs Improvement")</f>
        <v>Needs Improvement</v>
      </c>
      <c r="L22" s="1" t="str">
        <f aca="false">IF(J22&gt;=4.5,"Excellent",IF(J22&gt;=3.5,"Good","Improve"))</f>
        <v>Improve</v>
      </c>
      <c r="M22" s="4" t="n">
        <f aca="false">IF(J22&gt;=4,G22*10%,G22*5%)</f>
        <v>2150</v>
      </c>
      <c r="N22" s="4" t="n">
        <f aca="false">G22+M22</f>
        <v>45150</v>
      </c>
      <c r="O22" s="1" t="str">
        <f aca="false">LEFT(D22,3)&amp;A22</f>
        <v>Sal2021</v>
      </c>
      <c r="P22" s="1" t="str">
        <f aca="false">B22&amp;" "&amp;C22</f>
        <v>Vijay Anand</v>
      </c>
      <c r="Q22" s="6" t="n">
        <f aca="false">DATEDIF(DATEVALUE(F22),DATE(2026,10,13),"Y")</f>
        <v>4</v>
      </c>
    </row>
    <row r="23" customFormat="false" ht="15" hidden="false" customHeight="true" outlineLevel="0" collapsed="false">
      <c r="A23" s="1" t="n">
        <v>2022</v>
      </c>
      <c r="B23" s="1" t="s">
        <v>87</v>
      </c>
      <c r="C23" s="1" t="s">
        <v>88</v>
      </c>
      <c r="D23" s="1" t="s">
        <v>19</v>
      </c>
      <c r="E23" s="1" t="s">
        <v>41</v>
      </c>
      <c r="F23" s="3" t="s">
        <v>89</v>
      </c>
      <c r="G23" s="4" t="n">
        <v>56000</v>
      </c>
      <c r="H23" s="1" t="n">
        <v>22</v>
      </c>
      <c r="I23" s="1" t="n">
        <v>24</v>
      </c>
      <c r="J23" s="5" t="n">
        <v>4.5</v>
      </c>
      <c r="K23" s="1" t="str">
        <f aca="false">IF(H23&gt;=20,"Good","Needs Improvement")</f>
        <v>Good</v>
      </c>
      <c r="L23" s="1" t="str">
        <f aca="false">IF(J23&gt;=4.5,"Excellent",IF(J23&gt;=3.5,"Good","Improve"))</f>
        <v>Excellent</v>
      </c>
      <c r="M23" s="4" t="n">
        <f aca="false">IF(J23&gt;=4,G23*10%,G23*5%)</f>
        <v>5600</v>
      </c>
      <c r="N23" s="4" t="n">
        <f aca="false">G23+M23</f>
        <v>61600</v>
      </c>
      <c r="O23" s="1" t="str">
        <f aca="false">LEFT(D23,3)&amp;A23</f>
        <v>IT2022</v>
      </c>
      <c r="P23" s="1" t="str">
        <f aca="false">B23&amp;" "&amp;C23</f>
        <v>Yamini S</v>
      </c>
      <c r="Q23" s="6" t="n">
        <f aca="false">DATEDIF(DATEVALUE(F23),DATE(2026,10,13),"Y")</f>
        <v>7</v>
      </c>
    </row>
    <row r="24" customFormat="false" ht="15" hidden="false" customHeight="true" outlineLevel="0" collapsed="false">
      <c r="A24" s="1" t="n">
        <v>2023</v>
      </c>
      <c r="B24" s="1" t="s">
        <v>90</v>
      </c>
      <c r="C24" s="1" t="s">
        <v>91</v>
      </c>
      <c r="D24" s="1" t="s">
        <v>29</v>
      </c>
      <c r="E24" s="1" t="s">
        <v>25</v>
      </c>
      <c r="F24" s="3" t="s">
        <v>92</v>
      </c>
      <c r="G24" s="4" t="n">
        <v>29000</v>
      </c>
      <c r="H24" s="1" t="n">
        <v>16</v>
      </c>
      <c r="I24" s="1" t="n">
        <v>24</v>
      </c>
      <c r="J24" s="5" t="n">
        <v>3.2</v>
      </c>
      <c r="K24" s="1" t="str">
        <f aca="false">IF(H24&gt;=20,"Good","Needs Improvement")</f>
        <v>Needs Improvement</v>
      </c>
      <c r="L24" s="1" t="str">
        <f aca="false">IF(J24&gt;=4.5,"Excellent",IF(J24&gt;=3.5,"Good","Improve"))</f>
        <v>Improve</v>
      </c>
      <c r="M24" s="4" t="n">
        <f aca="false">IF(J24&gt;=4,G24*10%,G24*5%)</f>
        <v>1450</v>
      </c>
      <c r="N24" s="4" t="n">
        <f aca="false">G24+M24</f>
        <v>30450</v>
      </c>
      <c r="O24" s="1" t="str">
        <f aca="false">LEFT(D24,3)&amp;A24</f>
        <v>HR2023</v>
      </c>
      <c r="P24" s="1" t="str">
        <f aca="false">B24&amp;" "&amp;C24</f>
        <v>Zahir Ahmed</v>
      </c>
      <c r="Q24" s="6" t="n">
        <f aca="false">DATEDIF(DATEVALUE(F24),DATE(2026,10,13),"Y")</f>
        <v>2</v>
      </c>
    </row>
    <row r="25" customFormat="false" ht="15" hidden="false" customHeight="true" outlineLevel="0" collapsed="false">
      <c r="A25" s="1" t="n">
        <v>2024</v>
      </c>
      <c r="B25" s="1" t="s">
        <v>93</v>
      </c>
      <c r="C25" s="1" t="s">
        <v>80</v>
      </c>
      <c r="D25" s="1" t="s">
        <v>33</v>
      </c>
      <c r="E25" s="1" t="s">
        <v>20</v>
      </c>
      <c r="F25" s="3" t="s">
        <v>94</v>
      </c>
      <c r="G25" s="4" t="n">
        <v>40000</v>
      </c>
      <c r="H25" s="1" t="n">
        <v>23</v>
      </c>
      <c r="I25" s="1" t="n">
        <v>24</v>
      </c>
      <c r="J25" s="5" t="n">
        <v>4.4</v>
      </c>
      <c r="K25" s="1" t="str">
        <f aca="false">IF(H25&gt;=20,"Good","Needs Improvement")</f>
        <v>Good</v>
      </c>
      <c r="L25" s="1" t="str">
        <f aca="false">IF(J25&gt;=4.5,"Excellent",IF(J25&gt;=3.5,"Good","Improve"))</f>
        <v>Good</v>
      </c>
      <c r="M25" s="4" t="n">
        <f aca="false">IF(J25&gt;=4,G25*10%,G25*5%)</f>
        <v>4000</v>
      </c>
      <c r="N25" s="4" t="n">
        <f aca="false">G25+M25</f>
        <v>44000</v>
      </c>
      <c r="O25" s="1" t="str">
        <f aca="false">LEFT(D25,3)&amp;A25</f>
        <v>Fin2024</v>
      </c>
      <c r="P25" s="1" t="str">
        <f aca="false">B25&amp;" "&amp;C25</f>
        <v>Aarthi K</v>
      </c>
      <c r="Q25" s="6" t="n">
        <f aca="false">DATEDIF(DATEVALUE(F25),DATE(2026,10,13),"Y")</f>
        <v>3</v>
      </c>
    </row>
    <row r="26" customFormat="false" ht="15" hidden="false" customHeight="true" outlineLevel="0" collapsed="false">
      <c r="A26" s="1" t="n">
        <v>2025</v>
      </c>
      <c r="B26" s="1" t="s">
        <v>95</v>
      </c>
      <c r="C26" s="1" t="s">
        <v>96</v>
      </c>
      <c r="D26" s="1" t="s">
        <v>45</v>
      </c>
      <c r="E26" s="1" t="s">
        <v>25</v>
      </c>
      <c r="F26" s="3" t="s">
        <v>97</v>
      </c>
      <c r="G26" s="4" t="n">
        <v>33500</v>
      </c>
      <c r="H26" s="1" t="n">
        <v>19</v>
      </c>
      <c r="I26" s="1" t="n">
        <v>24</v>
      </c>
      <c r="J26" s="5" t="n">
        <v>3.6</v>
      </c>
      <c r="K26" s="1" t="str">
        <f aca="false">IF(H26&gt;=20,"Good","Needs Improvement")</f>
        <v>Needs Improvement</v>
      </c>
      <c r="L26" s="1" t="str">
        <f aca="false">IF(J26&gt;=4.5,"Excellent",IF(J26&gt;=3.5,"Good","Improve"))</f>
        <v>Good</v>
      </c>
      <c r="M26" s="4" t="n">
        <f aca="false">IF(J26&gt;=4,G26*10%,G26*5%)</f>
        <v>1675</v>
      </c>
      <c r="N26" s="4" t="n">
        <f aca="false">G26+M26</f>
        <v>35175</v>
      </c>
      <c r="O26" s="1" t="str">
        <f aca="false">LEFT(D26,3)&amp;A26</f>
        <v>Sup2025</v>
      </c>
      <c r="P26" s="1" t="str">
        <f aca="false">B26&amp;" "&amp;C26</f>
        <v>Bharath R</v>
      </c>
      <c r="Q26" s="6" t="n">
        <f aca="false">DATEDIF(DATEVALUE(F26),DATE(2026,10,13),"Y")</f>
        <v>6</v>
      </c>
    </row>
  </sheetData>
  <autoFilter ref="A1:Q26"/>
  <conditionalFormatting sqref="N2:N26">
    <cfRule type="cellIs" priority="2" operator="greaterThan" aboveAverage="0" equalAverage="0" bottom="0" percent="0" rank="0" text="" dxfId="6">
      <formula>45000</formula>
    </cfRule>
  </conditionalFormatting>
  <conditionalFormatting sqref="J2:J26">
    <cfRule type="cellIs" priority="3" operator="lessThan" aboveAverage="0" equalAverage="0" bottom="0" percent="0" rank="0" text="" dxfId="7">
      <formula>3.5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88"/>
    <col collapsed="false" customWidth="true" hidden="false" outlineLevel="0" max="4" min="3" style="1" width="70"/>
    <col collapsed="false" customWidth="true" hidden="false" outlineLevel="0" max="5" min="5" style="0" width="95"/>
  </cols>
  <sheetData>
    <row r="1" customFormat="false" ht="30" hidden="false" customHeight="true" outlineLevel="0" collapsed="false">
      <c r="A1" s="7" t="s">
        <v>98</v>
      </c>
      <c r="B1" s="7" t="s">
        <v>99</v>
      </c>
      <c r="C1" s="7" t="s">
        <v>100</v>
      </c>
      <c r="D1" s="8" t="s">
        <v>101</v>
      </c>
      <c r="E1" s="8" t="s">
        <v>102</v>
      </c>
    </row>
    <row r="2" customFormat="false" ht="94.5" hidden="false" customHeight="true" outlineLevel="0" collapsed="false">
      <c r="A2" s="1" t="n">
        <v>1</v>
      </c>
      <c r="B2" s="9" t="s">
        <v>103</v>
      </c>
      <c r="C2" s="9" t="s">
        <v>104</v>
      </c>
      <c r="D2" s="10" t="s">
        <v>105</v>
      </c>
      <c r="E2" s="9" t="s">
        <v>106</v>
      </c>
    </row>
    <row r="3" customFormat="false" ht="94.5" hidden="false" customHeight="true" outlineLevel="0" collapsed="false">
      <c r="A3" s="1" t="n">
        <v>2</v>
      </c>
      <c r="B3" s="9" t="s">
        <v>107</v>
      </c>
      <c r="C3" s="9" t="s">
        <v>108</v>
      </c>
      <c r="D3" s="10" t="s">
        <v>109</v>
      </c>
      <c r="E3" s="9" t="s">
        <v>110</v>
      </c>
    </row>
    <row r="4" customFormat="false" ht="94.5" hidden="false" customHeight="true" outlineLevel="0" collapsed="false">
      <c r="A4" s="1" t="n">
        <v>3</v>
      </c>
      <c r="B4" s="9" t="s">
        <v>111</v>
      </c>
      <c r="C4" s="9" t="s">
        <v>112</v>
      </c>
      <c r="D4" s="10" t="s">
        <v>113</v>
      </c>
      <c r="E4" s="9" t="s">
        <v>114</v>
      </c>
    </row>
    <row r="5" customFormat="false" ht="94.5" hidden="false" customHeight="true" outlineLevel="0" collapsed="false">
      <c r="A5" s="1" t="n">
        <v>4</v>
      </c>
      <c r="B5" s="9" t="s">
        <v>115</v>
      </c>
      <c r="C5" s="9" t="s">
        <v>116</v>
      </c>
      <c r="D5" s="10" t="s">
        <v>117</v>
      </c>
      <c r="E5" s="9" t="s">
        <v>118</v>
      </c>
    </row>
    <row r="6" customFormat="false" ht="94.5" hidden="false" customHeight="true" outlineLevel="0" collapsed="false">
      <c r="A6" s="1" t="n">
        <v>5</v>
      </c>
      <c r="B6" s="9" t="s">
        <v>119</v>
      </c>
      <c r="C6" s="9" t="s">
        <v>120</v>
      </c>
      <c r="D6" s="10" t="s">
        <v>121</v>
      </c>
      <c r="E6" s="9" t="s">
        <v>122</v>
      </c>
    </row>
    <row r="7" customFormat="false" ht="94.5" hidden="false" customHeight="true" outlineLevel="0" collapsed="false">
      <c r="A7" s="1" t="n">
        <v>6</v>
      </c>
      <c r="B7" s="9" t="s">
        <v>123</v>
      </c>
      <c r="C7" s="9" t="s">
        <v>124</v>
      </c>
      <c r="D7" s="10" t="s">
        <v>125</v>
      </c>
      <c r="E7" s="9" t="s">
        <v>126</v>
      </c>
    </row>
    <row r="8" customFormat="false" ht="94.5" hidden="false" customHeight="true" outlineLevel="0" collapsed="false">
      <c r="A8" s="1" t="n">
        <v>7</v>
      </c>
      <c r="B8" s="9" t="s">
        <v>127</v>
      </c>
      <c r="C8" s="9" t="s">
        <v>128</v>
      </c>
      <c r="D8" s="10" t="s">
        <v>129</v>
      </c>
      <c r="E8" s="9" t="s">
        <v>130</v>
      </c>
    </row>
    <row r="9" customFormat="false" ht="94.5" hidden="false" customHeight="true" outlineLevel="0" collapsed="false">
      <c r="A9" s="1" t="n">
        <v>8</v>
      </c>
      <c r="B9" s="9" t="s">
        <v>131</v>
      </c>
      <c r="C9" s="9" t="s">
        <v>132</v>
      </c>
      <c r="D9" s="10" t="n">
        <f aca="false">COUNTIFS('Employee Data'!D2:D26,"IT",'Employee Data'!E2:E26,"Chennai",'Employee Data'!H2:H26,"&gt;=20")</f>
        <v>3</v>
      </c>
      <c r="E9" s="9" t="s">
        <v>133</v>
      </c>
    </row>
    <row r="10" customFormat="false" ht="94.5" hidden="false" customHeight="true" outlineLevel="0" collapsed="false">
      <c r="A10" s="1" t="n">
        <v>9</v>
      </c>
      <c r="B10" s="9" t="s">
        <v>134</v>
      </c>
      <c r="C10" s="9" t="s">
        <v>135</v>
      </c>
      <c r="D10" s="11" t="n">
        <f aca="false">AVERAGEIF('Employee Data'!D2:D26,"Sales",'Employee Data'!J2:J26)</f>
        <v>3.82</v>
      </c>
      <c r="E10" s="9" t="s">
        <v>136</v>
      </c>
    </row>
    <row r="11" customFormat="false" ht="94.5" hidden="false" customHeight="true" outlineLevel="0" collapsed="false">
      <c r="A11" s="1" t="n">
        <v>10</v>
      </c>
      <c r="B11" s="9" t="s">
        <v>137</v>
      </c>
      <c r="C11" s="9" t="s">
        <v>138</v>
      </c>
      <c r="D11" s="10" t="s">
        <v>139</v>
      </c>
      <c r="E11" s="9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12" t="s">
        <v>141</v>
      </c>
    </row>
    <row r="3" customFormat="false" ht="15" hidden="false" customHeight="true" outlineLevel="0" collapsed="false">
      <c r="A3" s="13" t="s">
        <v>142</v>
      </c>
    </row>
    <row r="5" customFormat="false" ht="15" hidden="false" customHeight="true" outlineLevel="0" collapsed="false">
      <c r="A5" s="14" t="s">
        <v>143</v>
      </c>
    </row>
    <row r="6" customFormat="false" ht="15" hidden="false" customHeight="true" outlineLevel="0" collapsed="false">
      <c r="A6" s="13" t="s">
        <v>144</v>
      </c>
    </row>
    <row r="8" customFormat="false" ht="15" hidden="false" customHeight="true" outlineLevel="0" collapsed="false">
      <c r="A8" s="13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2026-10-13T03:42:42Z</dcterms:created>
  <dc:creator>openpyxl</dc:creator>
  <dc:description/>
  <dc:language>en-US</dc:language>
  <cp:lastModifiedBy/>
  <dcterms:modified xsi:type="dcterms:W3CDTF">2026-10-14T03:33:53Z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